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/Users/catherine115817/Documents/purdue/james/run6/"/>
    </mc:Choice>
  </mc:AlternateContent>
  <xr:revisionPtr revIDLastSave="0" documentId="13_ncr:1_{348A8618-4A42-E645-93EC-B098066B3EAF}" xr6:coauthVersionLast="47" xr6:coauthVersionMax="47" xr10:uidLastSave="{00000000-0000-0000-0000-000000000000}"/>
  <bookViews>
    <workbookView xWindow="3580" yWindow="1100" windowWidth="25820" windowHeight="15500" activeTab="5" xr2:uid="{50413488-22B1-4C38-8778-E3C4DAEC3235}"/>
  </bookViews>
  <sheets>
    <sheet name="Sheet1" sheetId="1" r:id="rId1"/>
    <sheet name="Sheet2" sheetId="2" r:id="rId2"/>
    <sheet name="Sheet3" sheetId="3" r:id="rId3"/>
    <sheet name="Sheet4" sheetId="4" r:id="rId4"/>
    <sheet name="Sheet5" sheetId="6" r:id="rId5"/>
    <sheet name="Sheet6" sheetId="8" r:id="rId6"/>
    <sheet name="Varing Vstripping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8" l="1"/>
  <c r="H37" i="8"/>
  <c r="H31" i="8"/>
  <c r="H30" i="8"/>
  <c r="H29" i="8"/>
  <c r="H28" i="8"/>
  <c r="H27" i="8"/>
  <c r="H25" i="8"/>
  <c r="H24" i="8"/>
  <c r="H23" i="8"/>
  <c r="N14" i="8"/>
  <c r="Q14" i="8" s="1"/>
  <c r="M14" i="8"/>
  <c r="W14" i="8" s="1"/>
  <c r="N13" i="8"/>
  <c r="Q13" i="8" s="1"/>
  <c r="M13" i="8"/>
  <c r="W13" i="8" s="1"/>
  <c r="P13" i="8" l="1"/>
  <c r="P14" i="8"/>
  <c r="Y14" i="8" l="1"/>
  <c r="U14" i="8"/>
  <c r="S14" i="8"/>
  <c r="Y13" i="8"/>
  <c r="U13" i="8"/>
  <c r="S13" i="8"/>
  <c r="N20" i="8" l="1"/>
  <c r="Q20" i="8" s="1"/>
  <c r="M20" i="8"/>
  <c r="N19" i="8"/>
  <c r="Q19" i="8" s="1"/>
  <c r="M19" i="8"/>
  <c r="W19" i="8" s="1"/>
  <c r="N18" i="8"/>
  <c r="Q18" i="8" s="1"/>
  <c r="M18" i="8"/>
  <c r="P18" i="8" s="1"/>
  <c r="N17" i="8"/>
  <c r="Q17" i="8" s="1"/>
  <c r="M17" i="8"/>
  <c r="W17" i="8" s="1"/>
  <c r="N12" i="8"/>
  <c r="Q12" i="8" s="1"/>
  <c r="M12" i="8"/>
  <c r="N11" i="8"/>
  <c r="Q11" i="8" s="1"/>
  <c r="M11" i="8"/>
  <c r="W11" i="8" s="1"/>
  <c r="N10" i="8"/>
  <c r="Q10" i="8" s="1"/>
  <c r="M10" i="8"/>
  <c r="W10" i="8" s="1"/>
  <c r="N9" i="8"/>
  <c r="M9" i="8"/>
  <c r="P9" i="8" s="1"/>
  <c r="N8" i="8"/>
  <c r="Q8" i="8" s="1"/>
  <c r="M8" i="8"/>
  <c r="N7" i="8"/>
  <c r="Q7" i="8" s="1"/>
  <c r="M7" i="8"/>
  <c r="W7" i="8" s="1"/>
  <c r="N6" i="8"/>
  <c r="Q6" i="8" s="1"/>
  <c r="M6" i="8"/>
  <c r="W6" i="8" s="1"/>
  <c r="N5" i="8"/>
  <c r="Q5" i="8" s="1"/>
  <c r="M5" i="8"/>
  <c r="W5" i="8" s="1"/>
  <c r="N17" i="10"/>
  <c r="Q17" i="10" s="1"/>
  <c r="M17" i="10"/>
  <c r="W17" i="10" s="1"/>
  <c r="N16" i="10"/>
  <c r="Q16" i="10" s="1"/>
  <c r="M16" i="10"/>
  <c r="W16" i="10" s="1"/>
  <c r="N15" i="10"/>
  <c r="Q15" i="10" s="1"/>
  <c r="M15" i="10"/>
  <c r="W15" i="10" s="1"/>
  <c r="N14" i="10"/>
  <c r="Q14" i="10" s="1"/>
  <c r="M14" i="10"/>
  <c r="W14" i="10" s="1"/>
  <c r="N13" i="10"/>
  <c r="Q13" i="10" s="1"/>
  <c r="M13" i="10"/>
  <c r="P13" i="10" s="1"/>
  <c r="N12" i="10"/>
  <c r="Q12" i="10" s="1"/>
  <c r="M12" i="10"/>
  <c r="W12" i="10" s="1"/>
  <c r="N11" i="10"/>
  <c r="Q11" i="10" s="1"/>
  <c r="M11" i="10"/>
  <c r="W11" i="10" s="1"/>
  <c r="N10" i="10"/>
  <c r="Q10" i="10" s="1"/>
  <c r="M10" i="10"/>
  <c r="W10" i="10" s="1"/>
  <c r="N9" i="10"/>
  <c r="Q9" i="10" s="1"/>
  <c r="M9" i="10"/>
  <c r="W9" i="10" s="1"/>
  <c r="N8" i="10"/>
  <c r="Q8" i="10" s="1"/>
  <c r="M8" i="10"/>
  <c r="W8" i="10" s="1"/>
  <c r="N7" i="10"/>
  <c r="Q7" i="10" s="1"/>
  <c r="M7" i="10"/>
  <c r="W7" i="10" s="1"/>
  <c r="W8" i="8" l="1"/>
  <c r="W9" i="8"/>
  <c r="W12" i="8"/>
  <c r="W20" i="8"/>
  <c r="Y18" i="8"/>
  <c r="S18" i="8"/>
  <c r="U18" i="8"/>
  <c r="P17" i="8"/>
  <c r="P20" i="8"/>
  <c r="P19" i="8"/>
  <c r="W18" i="8"/>
  <c r="P12" i="8"/>
  <c r="P11" i="8"/>
  <c r="P10" i="8"/>
  <c r="Q9" i="8"/>
  <c r="Y9" i="8" s="1"/>
  <c r="S9" i="8"/>
  <c r="P6" i="8"/>
  <c r="P7" i="8"/>
  <c r="P8" i="8"/>
  <c r="P5" i="8"/>
  <c r="P17" i="10"/>
  <c r="P16" i="10"/>
  <c r="P15" i="10"/>
  <c r="Y13" i="10"/>
  <c r="S13" i="10"/>
  <c r="U13" i="10"/>
  <c r="P14" i="10"/>
  <c r="W13" i="10"/>
  <c r="P12" i="10"/>
  <c r="P11" i="10"/>
  <c r="P10" i="10"/>
  <c r="P9" i="10"/>
  <c r="P8" i="10"/>
  <c r="P7" i="10"/>
  <c r="U9" i="8" l="1"/>
  <c r="Y19" i="8"/>
  <c r="S19" i="8"/>
  <c r="U19" i="8"/>
  <c r="Y20" i="8"/>
  <c r="U20" i="8"/>
  <c r="S20" i="8"/>
  <c r="Y17" i="8"/>
  <c r="U17" i="8"/>
  <c r="S17" i="8"/>
  <c r="Y12" i="8"/>
  <c r="U12" i="8"/>
  <c r="S12" i="8"/>
  <c r="Y11" i="8"/>
  <c r="U11" i="8"/>
  <c r="S11" i="8"/>
  <c r="Y10" i="8"/>
  <c r="U10" i="8"/>
  <c r="S10" i="8"/>
  <c r="Y8" i="8"/>
  <c r="U8" i="8"/>
  <c r="S8" i="8"/>
  <c r="Y7" i="8"/>
  <c r="U7" i="8"/>
  <c r="S7" i="8"/>
  <c r="Y6" i="8"/>
  <c r="U6" i="8"/>
  <c r="S6" i="8"/>
  <c r="Y5" i="8"/>
  <c r="U5" i="8"/>
  <c r="S5" i="8"/>
  <c r="Y17" i="10"/>
  <c r="U17" i="10"/>
  <c r="S17" i="10"/>
  <c r="Y16" i="10"/>
  <c r="U16" i="10"/>
  <c r="S16" i="10"/>
  <c r="Y15" i="10"/>
  <c r="U15" i="10"/>
  <c r="S15" i="10"/>
  <c r="Y14" i="10"/>
  <c r="U14" i="10"/>
  <c r="S14" i="10"/>
  <c r="Y12" i="10"/>
  <c r="U12" i="10"/>
  <c r="S12" i="10"/>
  <c r="Y11" i="10"/>
  <c r="U11" i="10"/>
  <c r="S11" i="10"/>
  <c r="Y10" i="10"/>
  <c r="U10" i="10"/>
  <c r="S10" i="10"/>
  <c r="Y9" i="10"/>
  <c r="U9" i="10"/>
  <c r="S9" i="10"/>
  <c r="Y8" i="10"/>
  <c r="U8" i="10"/>
  <c r="S8" i="10"/>
  <c r="Y7" i="10"/>
  <c r="U7" i="10"/>
  <c r="S7" i="10"/>
  <c r="N10" i="6" l="1"/>
  <c r="Q10" i="6" s="1"/>
  <c r="M10" i="6"/>
  <c r="W10" i="6" s="1"/>
  <c r="N9" i="6"/>
  <c r="Q9" i="6" s="1"/>
  <c r="M9" i="6"/>
  <c r="P9" i="6" s="1"/>
  <c r="N8" i="6"/>
  <c r="Q8" i="6" s="1"/>
  <c r="M8" i="6"/>
  <c r="P8" i="6" s="1"/>
  <c r="N7" i="6"/>
  <c r="Q7" i="6" s="1"/>
  <c r="M7" i="6"/>
  <c r="W7" i="6" s="1"/>
  <c r="N6" i="6"/>
  <c r="Q6" i="6" s="1"/>
  <c r="M6" i="6"/>
  <c r="W6" i="6" s="1"/>
  <c r="N5" i="6"/>
  <c r="Q5" i="6" s="1"/>
  <c r="M5" i="6"/>
  <c r="W5" i="6" s="1"/>
  <c r="N31" i="4"/>
  <c r="M31" i="4"/>
  <c r="P31" i="4" s="1"/>
  <c r="N30" i="4"/>
  <c r="Q30" i="4" s="1"/>
  <c r="M30" i="4"/>
  <c r="N29" i="4"/>
  <c r="Q29" i="4" s="1"/>
  <c r="M29" i="4"/>
  <c r="P29" i="4" s="1"/>
  <c r="Y29" i="4" s="1"/>
  <c r="N28" i="4"/>
  <c r="Q28" i="4" s="1"/>
  <c r="M28" i="4"/>
  <c r="W28" i="4" s="1"/>
  <c r="N27" i="4"/>
  <c r="Q27" i="4" s="1"/>
  <c r="M27" i="4"/>
  <c r="W27" i="4" s="1"/>
  <c r="N26" i="4"/>
  <c r="Q26" i="4" s="1"/>
  <c r="M26" i="4"/>
  <c r="P26" i="4" s="1"/>
  <c r="N25" i="4"/>
  <c r="Q25" i="4" s="1"/>
  <c r="M25" i="4"/>
  <c r="N24" i="4"/>
  <c r="Q24" i="4" s="1"/>
  <c r="M24" i="4"/>
  <c r="P24" i="4" s="1"/>
  <c r="U24" i="4" s="1"/>
  <c r="N23" i="4"/>
  <c r="Q23" i="4" s="1"/>
  <c r="M23" i="4"/>
  <c r="W23" i="4" s="1"/>
  <c r="N22" i="4"/>
  <c r="Q22" i="4" s="1"/>
  <c r="M22" i="4"/>
  <c r="N21" i="4"/>
  <c r="Q21" i="4" s="1"/>
  <c r="M21" i="4"/>
  <c r="P21" i="4" s="1"/>
  <c r="N20" i="4"/>
  <c r="Q20" i="4" s="1"/>
  <c r="M20" i="4"/>
  <c r="W20" i="4" s="1"/>
  <c r="N19" i="4"/>
  <c r="Q19" i="4" s="1"/>
  <c r="M19" i="4"/>
  <c r="P19" i="4" s="1"/>
  <c r="N18" i="4"/>
  <c r="Q18" i="4" s="1"/>
  <c r="M18" i="4"/>
  <c r="N17" i="4"/>
  <c r="Q17" i="4" s="1"/>
  <c r="M17" i="4"/>
  <c r="W17" i="4" s="1"/>
  <c r="N16" i="4"/>
  <c r="M16" i="4"/>
  <c r="P16" i="4" s="1"/>
  <c r="N15" i="4"/>
  <c r="Q15" i="4" s="1"/>
  <c r="M15" i="4"/>
  <c r="N14" i="4"/>
  <c r="Q14" i="4" s="1"/>
  <c r="M14" i="4"/>
  <c r="P14" i="4" s="1"/>
  <c r="N13" i="4"/>
  <c r="Q13" i="4" s="1"/>
  <c r="M13" i="4"/>
  <c r="W13" i="4" s="1"/>
  <c r="N12" i="4"/>
  <c r="Q12" i="4" s="1"/>
  <c r="M12" i="4"/>
  <c r="W12" i="4" s="1"/>
  <c r="N11" i="4"/>
  <c r="Q11" i="4" s="1"/>
  <c r="M11" i="4"/>
  <c r="P11" i="4" s="1"/>
  <c r="N10" i="4"/>
  <c r="Q10" i="4" s="1"/>
  <c r="M10" i="4"/>
  <c r="W10" i="4" s="1"/>
  <c r="N9" i="4"/>
  <c r="Q9" i="4" s="1"/>
  <c r="M9" i="4"/>
  <c r="P9" i="4" s="1"/>
  <c r="U9" i="4" s="1"/>
  <c r="N8" i="4"/>
  <c r="Q8" i="4" s="1"/>
  <c r="M8" i="4"/>
  <c r="W8" i="4" s="1"/>
  <c r="N7" i="4"/>
  <c r="Q7" i="4" s="1"/>
  <c r="M7" i="4"/>
  <c r="W7" i="4" s="1"/>
  <c r="N6" i="4"/>
  <c r="Q6" i="4" s="1"/>
  <c r="M6" i="4"/>
  <c r="P6" i="4" s="1"/>
  <c r="N5" i="4"/>
  <c r="Q5" i="4" s="1"/>
  <c r="M5" i="4"/>
  <c r="W5" i="4" s="1"/>
  <c r="N4" i="4"/>
  <c r="Q4" i="4" s="1"/>
  <c r="M4" i="4"/>
  <c r="P4" i="4" s="1"/>
  <c r="S4" i="4" s="1"/>
  <c r="N77" i="3"/>
  <c r="Q77" i="3" s="1"/>
  <c r="M77" i="3"/>
  <c r="W77" i="3" s="1"/>
  <c r="N76" i="3"/>
  <c r="Q76" i="3" s="1"/>
  <c r="M76" i="3"/>
  <c r="W76" i="3" s="1"/>
  <c r="N75" i="3"/>
  <c r="Q75" i="3" s="1"/>
  <c r="M75" i="3"/>
  <c r="P75" i="3" s="1"/>
  <c r="N74" i="3"/>
  <c r="Q74" i="3" s="1"/>
  <c r="M74" i="3"/>
  <c r="P74" i="3" s="1"/>
  <c r="N73" i="3"/>
  <c r="Q73" i="3" s="1"/>
  <c r="M73" i="3"/>
  <c r="W73" i="3" s="1"/>
  <c r="N72" i="3"/>
  <c r="Q72" i="3" s="1"/>
  <c r="M72" i="3"/>
  <c r="W72" i="3" s="1"/>
  <c r="N71" i="3"/>
  <c r="Q71" i="3" s="1"/>
  <c r="M71" i="3"/>
  <c r="P71" i="3" s="1"/>
  <c r="N70" i="3"/>
  <c r="Q70" i="3" s="1"/>
  <c r="M70" i="3"/>
  <c r="P70" i="3" s="1"/>
  <c r="N65" i="3"/>
  <c r="Q65" i="3" s="1"/>
  <c r="M65" i="3"/>
  <c r="N64" i="3"/>
  <c r="Q64" i="3" s="1"/>
  <c r="M64" i="3"/>
  <c r="N63" i="3"/>
  <c r="Q63" i="3" s="1"/>
  <c r="M63" i="3"/>
  <c r="N62" i="3"/>
  <c r="Q62" i="3" s="1"/>
  <c r="M62" i="3"/>
  <c r="N61" i="3"/>
  <c r="Q61" i="3" s="1"/>
  <c r="M61" i="3"/>
  <c r="N59" i="3"/>
  <c r="Q59" i="3" s="1"/>
  <c r="M59" i="3"/>
  <c r="W59" i="3" s="1"/>
  <c r="N58" i="3"/>
  <c r="Q58" i="3" s="1"/>
  <c r="M58" i="3"/>
  <c r="P58" i="3" s="1"/>
  <c r="N57" i="3"/>
  <c r="Q57" i="3" s="1"/>
  <c r="M57" i="3"/>
  <c r="P57" i="3" s="1"/>
  <c r="N56" i="3"/>
  <c r="Q56" i="3" s="1"/>
  <c r="M56" i="3"/>
  <c r="W56" i="3" s="1"/>
  <c r="N55" i="3"/>
  <c r="Q55" i="3" s="1"/>
  <c r="M55" i="3"/>
  <c r="W55" i="3" s="1"/>
  <c r="N51" i="3"/>
  <c r="Q51" i="3" s="1"/>
  <c r="M51" i="3"/>
  <c r="P51" i="3" s="1"/>
  <c r="N50" i="3"/>
  <c r="Q50" i="3" s="1"/>
  <c r="M50" i="3"/>
  <c r="W50" i="3" s="1"/>
  <c r="N49" i="3"/>
  <c r="Q49" i="3" s="1"/>
  <c r="M49" i="3"/>
  <c r="P49" i="3" s="1"/>
  <c r="N48" i="3"/>
  <c r="Q48" i="3" s="1"/>
  <c r="M48" i="3"/>
  <c r="P48" i="3" s="1"/>
  <c r="N47" i="3"/>
  <c r="M47" i="3"/>
  <c r="P47" i="3" s="1"/>
  <c r="N43" i="3"/>
  <c r="Q43" i="3" s="1"/>
  <c r="M43" i="3"/>
  <c r="W43" i="3" s="1"/>
  <c r="N42" i="3"/>
  <c r="Q42" i="3" s="1"/>
  <c r="M42" i="3"/>
  <c r="P42" i="3" s="1"/>
  <c r="N41" i="3"/>
  <c r="Q41" i="3" s="1"/>
  <c r="M41" i="3"/>
  <c r="W41" i="3" s="1"/>
  <c r="N40" i="3"/>
  <c r="Q40" i="3" s="1"/>
  <c r="M40" i="3"/>
  <c r="P40" i="3" s="1"/>
  <c r="N39" i="3"/>
  <c r="Q39" i="3" s="1"/>
  <c r="M39" i="3"/>
  <c r="P39" i="3" s="1"/>
  <c r="N35" i="3"/>
  <c r="Q35" i="3" s="1"/>
  <c r="M35" i="3"/>
  <c r="P35" i="3" s="1"/>
  <c r="N34" i="3"/>
  <c r="Q34" i="3" s="1"/>
  <c r="M34" i="3"/>
  <c r="P34" i="3" s="1"/>
  <c r="N33" i="3"/>
  <c r="Q33" i="3" s="1"/>
  <c r="M33" i="3"/>
  <c r="P33" i="3" s="1"/>
  <c r="Y33" i="3" s="1"/>
  <c r="N32" i="3"/>
  <c r="M32" i="3"/>
  <c r="P32" i="3" s="1"/>
  <c r="N31" i="3"/>
  <c r="Q31" i="3" s="1"/>
  <c r="M31" i="3"/>
  <c r="N27" i="3"/>
  <c r="Q27" i="3" s="1"/>
  <c r="M27" i="3"/>
  <c r="W27" i="3" s="1"/>
  <c r="N26" i="3"/>
  <c r="Q26" i="3" s="1"/>
  <c r="M26" i="3"/>
  <c r="P26" i="3" s="1"/>
  <c r="N25" i="3"/>
  <c r="Q25" i="3" s="1"/>
  <c r="M25" i="3"/>
  <c r="P25" i="3" s="1"/>
  <c r="N24" i="3"/>
  <c r="Q24" i="3" s="1"/>
  <c r="M24" i="3"/>
  <c r="P24" i="3" s="1"/>
  <c r="N23" i="3"/>
  <c r="Q23" i="3" s="1"/>
  <c r="M23" i="3"/>
  <c r="P23" i="3" s="1"/>
  <c r="N19" i="3"/>
  <c r="W19" i="3" s="1"/>
  <c r="M19" i="3"/>
  <c r="P19" i="3" s="1"/>
  <c r="N18" i="3"/>
  <c r="Q18" i="3" s="1"/>
  <c r="M18" i="3"/>
  <c r="W18" i="3" s="1"/>
  <c r="N17" i="3"/>
  <c r="Q17" i="3" s="1"/>
  <c r="M17" i="3"/>
  <c r="W17" i="3" s="1"/>
  <c r="N16" i="3"/>
  <c r="Q16" i="3" s="1"/>
  <c r="M16" i="3"/>
  <c r="P16" i="3" s="1"/>
  <c r="N15" i="3"/>
  <c r="Q15" i="3" s="1"/>
  <c r="M15" i="3"/>
  <c r="P15" i="3" s="1"/>
  <c r="N11" i="3"/>
  <c r="Q11" i="3" s="1"/>
  <c r="M11" i="3"/>
  <c r="P11" i="3" s="1"/>
  <c r="N10" i="3"/>
  <c r="Q10" i="3" s="1"/>
  <c r="M10" i="3"/>
  <c r="W10" i="3" s="1"/>
  <c r="W9" i="3"/>
  <c r="Q9" i="3"/>
  <c r="N9" i="3"/>
  <c r="M9" i="3"/>
  <c r="P9" i="3" s="1"/>
  <c r="N8" i="3"/>
  <c r="Q8" i="3" s="1"/>
  <c r="M8" i="3"/>
  <c r="W8" i="3" s="1"/>
  <c r="N7" i="3"/>
  <c r="Q7" i="3" s="1"/>
  <c r="M7" i="3"/>
  <c r="P7" i="3" s="1"/>
  <c r="N78" i="2"/>
  <c r="Q78" i="2" s="1"/>
  <c r="M78" i="2"/>
  <c r="P78" i="2" s="1"/>
  <c r="N77" i="2"/>
  <c r="Q77" i="2" s="1"/>
  <c r="M77" i="2"/>
  <c r="N76" i="2"/>
  <c r="Q76" i="2" s="1"/>
  <c r="M76" i="2"/>
  <c r="P76" i="2" s="1"/>
  <c r="N75" i="2"/>
  <c r="Q75" i="2" s="1"/>
  <c r="M75" i="2"/>
  <c r="P75" i="2" s="1"/>
  <c r="N74" i="2"/>
  <c r="Q74" i="2" s="1"/>
  <c r="M74" i="2"/>
  <c r="P74" i="2" s="1"/>
  <c r="N73" i="2"/>
  <c r="Q73" i="2" s="1"/>
  <c r="M73" i="2"/>
  <c r="W73" i="2" s="1"/>
  <c r="N72" i="2"/>
  <c r="Q72" i="2" s="1"/>
  <c r="M72" i="2"/>
  <c r="P72" i="2" s="1"/>
  <c r="N71" i="2"/>
  <c r="Q71" i="2" s="1"/>
  <c r="M71" i="2"/>
  <c r="P71" i="2" s="1"/>
  <c r="N67" i="2"/>
  <c r="Q67" i="2" s="1"/>
  <c r="M67" i="2"/>
  <c r="P67" i="2" s="1"/>
  <c r="N66" i="2"/>
  <c r="Q66" i="2" s="1"/>
  <c r="M66" i="2"/>
  <c r="P66" i="2" s="1"/>
  <c r="N65" i="2"/>
  <c r="Q65" i="2" s="1"/>
  <c r="M65" i="2"/>
  <c r="P65" i="2" s="1"/>
  <c r="N64" i="2"/>
  <c r="Q64" i="2" s="1"/>
  <c r="M64" i="2"/>
  <c r="P64" i="2" s="1"/>
  <c r="N63" i="2"/>
  <c r="Q63" i="2" s="1"/>
  <c r="M63" i="2"/>
  <c r="P63" i="2" s="1"/>
  <c r="N62" i="2"/>
  <c r="Q62" i="2" s="1"/>
  <c r="M62" i="2"/>
  <c r="P62" i="2" s="1"/>
  <c r="Y59" i="2"/>
  <c r="Y58" i="2"/>
  <c r="Y57" i="2"/>
  <c r="Y56" i="2"/>
  <c r="Y55" i="2"/>
  <c r="Y54" i="2"/>
  <c r="Y51" i="2"/>
  <c r="Y50" i="2"/>
  <c r="Y49" i="2"/>
  <c r="Y48" i="2"/>
  <c r="Y47" i="2"/>
  <c r="Y46" i="2"/>
  <c r="Y43" i="2"/>
  <c r="Y42" i="2"/>
  <c r="Y41" i="2"/>
  <c r="Y40" i="2"/>
  <c r="Y39" i="2"/>
  <c r="Y38" i="2"/>
  <c r="Y35" i="2"/>
  <c r="Y34" i="2"/>
  <c r="Y33" i="2"/>
  <c r="Y32" i="2"/>
  <c r="Y31" i="2"/>
  <c r="Y30" i="2"/>
  <c r="Y27" i="2"/>
  <c r="Y26" i="2"/>
  <c r="Y25" i="2"/>
  <c r="Y24" i="2"/>
  <c r="Y23" i="2"/>
  <c r="Y22" i="2"/>
  <c r="Y19" i="2"/>
  <c r="Y18" i="2"/>
  <c r="N17" i="2"/>
  <c r="Q17" i="2" s="1"/>
  <c r="M17" i="2"/>
  <c r="W17" i="2" s="1"/>
  <c r="Y16" i="2"/>
  <c r="Y15" i="2"/>
  <c r="Y14" i="2"/>
  <c r="Y11" i="2"/>
  <c r="Y10" i="2"/>
  <c r="Y9" i="2"/>
  <c r="Y8" i="2"/>
  <c r="Y7" i="2"/>
  <c r="Y6" i="2"/>
  <c r="N68" i="1"/>
  <c r="Q68" i="1" s="1"/>
  <c r="M68" i="1"/>
  <c r="N67" i="1"/>
  <c r="Q67" i="1" s="1"/>
  <c r="M67" i="1"/>
  <c r="P67" i="1" s="1"/>
  <c r="N66" i="1"/>
  <c r="Q66" i="1" s="1"/>
  <c r="M66" i="1"/>
  <c r="W66" i="1" s="1"/>
  <c r="N65" i="1"/>
  <c r="Q65" i="1" s="1"/>
  <c r="M65" i="1"/>
  <c r="W65" i="1" s="1"/>
  <c r="N64" i="1"/>
  <c r="Q64" i="1" s="1"/>
  <c r="M64" i="1"/>
  <c r="P64" i="1" s="1"/>
  <c r="N63" i="1"/>
  <c r="Q63" i="1" s="1"/>
  <c r="M63" i="1"/>
  <c r="N62" i="1"/>
  <c r="Q62" i="1" s="1"/>
  <c r="M62" i="1"/>
  <c r="W62" i="1" s="1"/>
  <c r="N61" i="1"/>
  <c r="Q61" i="1" s="1"/>
  <c r="M61" i="1"/>
  <c r="N60" i="1"/>
  <c r="Q60" i="1" s="1"/>
  <c r="M60" i="1"/>
  <c r="P60" i="1" s="1"/>
  <c r="N59" i="1"/>
  <c r="M59" i="1"/>
  <c r="P59" i="1" s="1"/>
  <c r="N58" i="1"/>
  <c r="Q58" i="1" s="1"/>
  <c r="M58" i="1"/>
  <c r="W58" i="1" s="1"/>
  <c r="N57" i="1"/>
  <c r="Q57" i="1" s="1"/>
  <c r="M57" i="1"/>
  <c r="N56" i="1"/>
  <c r="Q56" i="1" s="1"/>
  <c r="M56" i="1"/>
  <c r="N55" i="1"/>
  <c r="M55" i="1"/>
  <c r="P55" i="1" s="1"/>
  <c r="N54" i="1"/>
  <c r="Q54" i="1" s="1"/>
  <c r="M54" i="1"/>
  <c r="N53" i="1"/>
  <c r="M53" i="1"/>
  <c r="P53" i="1" s="1"/>
  <c r="N52" i="1"/>
  <c r="M52" i="1"/>
  <c r="P52" i="1" s="1"/>
  <c r="N51" i="1"/>
  <c r="Q51" i="1" s="1"/>
  <c r="M51" i="1"/>
  <c r="N50" i="1"/>
  <c r="Q50" i="1" s="1"/>
  <c r="M50" i="1"/>
  <c r="P50" i="1" s="1"/>
  <c r="Y50" i="1" s="1"/>
  <c r="N49" i="1"/>
  <c r="Q49" i="1" s="1"/>
  <c r="M49" i="1"/>
  <c r="P49" i="1" s="1"/>
  <c r="Y49" i="1" s="1"/>
  <c r="N48" i="1"/>
  <c r="Q48" i="1" s="1"/>
  <c r="M48" i="1"/>
  <c r="N47" i="1"/>
  <c r="Q47" i="1" s="1"/>
  <c r="M47" i="1"/>
  <c r="P47" i="1" s="1"/>
  <c r="N46" i="1"/>
  <c r="Q46" i="1" s="1"/>
  <c r="M46" i="1"/>
  <c r="W46" i="1" s="1"/>
  <c r="N45" i="1"/>
  <c r="Q45" i="1" s="1"/>
  <c r="M45" i="1"/>
  <c r="P45" i="1" s="1"/>
  <c r="Y45" i="1" s="1"/>
  <c r="N44" i="1"/>
  <c r="Q44" i="1" s="1"/>
  <c r="M44" i="1"/>
  <c r="N43" i="1"/>
  <c r="Q43" i="1" s="1"/>
  <c r="M43" i="1"/>
  <c r="N42" i="1"/>
  <c r="Q42" i="1" s="1"/>
  <c r="M42" i="1"/>
  <c r="P42" i="1" s="1"/>
  <c r="Y42" i="1" s="1"/>
  <c r="N41" i="1"/>
  <c r="Q41" i="1" s="1"/>
  <c r="M41" i="1"/>
  <c r="P41" i="1" s="1"/>
  <c r="Y41" i="1" s="1"/>
  <c r="N40" i="1"/>
  <c r="Q40" i="1" s="1"/>
  <c r="M40" i="1"/>
  <c r="N39" i="1"/>
  <c r="Q39" i="1" s="1"/>
  <c r="M39" i="1"/>
  <c r="N38" i="1"/>
  <c r="Q38" i="1" s="1"/>
  <c r="M38" i="1"/>
  <c r="P38" i="1" s="1"/>
  <c r="Y38" i="1" s="1"/>
  <c r="N37" i="1"/>
  <c r="M37" i="1"/>
  <c r="P37" i="1" s="1"/>
  <c r="N36" i="1"/>
  <c r="Q36" i="1" s="1"/>
  <c r="M36" i="1"/>
  <c r="N35" i="1"/>
  <c r="Q35" i="1" s="1"/>
  <c r="M35" i="1"/>
  <c r="P35" i="1" s="1"/>
  <c r="N34" i="1"/>
  <c r="Q34" i="1" s="1"/>
  <c r="M34" i="1"/>
  <c r="W34" i="1" s="1"/>
  <c r="N33" i="1"/>
  <c r="Q33" i="1" s="1"/>
  <c r="M33" i="1"/>
  <c r="N32" i="1"/>
  <c r="Q32" i="1" s="1"/>
  <c r="M32" i="1"/>
  <c r="P32" i="1" s="1"/>
  <c r="N31" i="1"/>
  <c r="M31" i="1"/>
  <c r="P31" i="1" s="1"/>
  <c r="N30" i="1"/>
  <c r="Q30" i="1" s="1"/>
  <c r="M30" i="1"/>
  <c r="W30" i="1" s="1"/>
  <c r="N29" i="1"/>
  <c r="Q29" i="1" s="1"/>
  <c r="M29" i="1"/>
  <c r="P29" i="1" s="1"/>
  <c r="Y29" i="1" s="1"/>
  <c r="N28" i="1"/>
  <c r="Q28" i="1" s="1"/>
  <c r="M28" i="1"/>
  <c r="N27" i="1"/>
  <c r="Q27" i="1" s="1"/>
  <c r="M27" i="1"/>
  <c r="P27" i="1" s="1"/>
  <c r="N26" i="1"/>
  <c r="Q26" i="1" s="1"/>
  <c r="M26" i="1"/>
  <c r="P26" i="1" s="1"/>
  <c r="Y26" i="1" s="1"/>
  <c r="N25" i="1"/>
  <c r="Q25" i="1" s="1"/>
  <c r="M25" i="1"/>
  <c r="P25" i="1" s="1"/>
  <c r="Y25" i="1" s="1"/>
  <c r="N24" i="1"/>
  <c r="Q24" i="1" s="1"/>
  <c r="M24" i="1"/>
  <c r="N23" i="1"/>
  <c r="Q23" i="1" s="1"/>
  <c r="M23" i="1"/>
  <c r="N22" i="1"/>
  <c r="Q22" i="1" s="1"/>
  <c r="M22" i="1"/>
  <c r="P22" i="1" s="1"/>
  <c r="Y22" i="1" s="1"/>
  <c r="N21" i="1"/>
  <c r="M21" i="1"/>
  <c r="P21" i="1" s="1"/>
  <c r="N20" i="1"/>
  <c r="Q20" i="1" s="1"/>
  <c r="M20" i="1"/>
  <c r="N19" i="1"/>
  <c r="Q19" i="1" s="1"/>
  <c r="M19" i="1"/>
  <c r="N18" i="1"/>
  <c r="Q18" i="1" s="1"/>
  <c r="M18" i="1"/>
  <c r="W18" i="1" s="1"/>
  <c r="N17" i="1"/>
  <c r="M17" i="1"/>
  <c r="P17" i="1" s="1"/>
  <c r="N16" i="1"/>
  <c r="Q16" i="1" s="1"/>
  <c r="M16" i="1"/>
  <c r="N15" i="1"/>
  <c r="Q15" i="1" s="1"/>
  <c r="M15" i="1"/>
  <c r="P15" i="1" s="1"/>
  <c r="N14" i="1"/>
  <c r="Q14" i="1" s="1"/>
  <c r="M14" i="1"/>
  <c r="W14" i="1" s="1"/>
  <c r="N13" i="1"/>
  <c r="Q13" i="1" s="1"/>
  <c r="M13" i="1"/>
  <c r="N12" i="1"/>
  <c r="Q12" i="1" s="1"/>
  <c r="M12" i="1"/>
  <c r="P12" i="1" s="1"/>
  <c r="N11" i="1"/>
  <c r="Q11" i="1" s="1"/>
  <c r="M11" i="1"/>
  <c r="P11" i="1" s="1"/>
  <c r="N10" i="1"/>
  <c r="Q10" i="1" s="1"/>
  <c r="M10" i="1"/>
  <c r="W10" i="1" s="1"/>
  <c r="N9" i="1"/>
  <c r="Q9" i="1" s="1"/>
  <c r="M9" i="1"/>
  <c r="P9" i="1" s="1"/>
  <c r="Y9" i="1" s="1"/>
  <c r="N8" i="1"/>
  <c r="Q8" i="1" s="1"/>
  <c r="M8" i="1"/>
  <c r="N7" i="1"/>
  <c r="Q7" i="1" s="1"/>
  <c r="M7" i="1"/>
  <c r="N6" i="1"/>
  <c r="Q6" i="1" s="1"/>
  <c r="M6" i="1"/>
  <c r="P6" i="1" s="1"/>
  <c r="Y6" i="1" s="1"/>
  <c r="N5" i="1"/>
  <c r="Q5" i="1" s="1"/>
  <c r="M5" i="1"/>
  <c r="N4" i="1"/>
  <c r="Q4" i="1" s="1"/>
  <c r="M4" i="1"/>
  <c r="W77" i="2" l="1"/>
  <c r="Y49" i="3"/>
  <c r="Y9" i="3"/>
  <c r="W42" i="3"/>
  <c r="U19" i="4"/>
  <c r="Y16" i="3"/>
  <c r="Q19" i="3"/>
  <c r="W47" i="3"/>
  <c r="Y42" i="3"/>
  <c r="W25" i="3"/>
  <c r="Q47" i="3"/>
  <c r="Y47" i="3" s="1"/>
  <c r="W32" i="3"/>
  <c r="W40" i="3"/>
  <c r="P59" i="3"/>
  <c r="Y59" i="3" s="1"/>
  <c r="W35" i="3"/>
  <c r="P43" i="3"/>
  <c r="U43" i="3" s="1"/>
  <c r="W57" i="3"/>
  <c r="P10" i="3"/>
  <c r="S10" i="3" s="1"/>
  <c r="W15" i="3"/>
  <c r="W24" i="3"/>
  <c r="W48" i="3"/>
  <c r="W34" i="3"/>
  <c r="W11" i="3"/>
  <c r="W7" i="3"/>
  <c r="W75" i="3"/>
  <c r="W16" i="3"/>
  <c r="W31" i="3"/>
  <c r="W39" i="3"/>
  <c r="W49" i="3"/>
  <c r="W58" i="3"/>
  <c r="W70" i="3"/>
  <c r="W76" i="2"/>
  <c r="W64" i="2"/>
  <c r="W71" i="2"/>
  <c r="W63" i="1"/>
  <c r="W4" i="1"/>
  <c r="W8" i="1"/>
  <c r="Y12" i="1"/>
  <c r="W20" i="1"/>
  <c r="W24" i="1"/>
  <c r="W28" i="1"/>
  <c r="Y32" i="1"/>
  <c r="W40" i="1"/>
  <c r="W44" i="1"/>
  <c r="W48" i="1"/>
  <c r="W56" i="1"/>
  <c r="Y60" i="1"/>
  <c r="Y64" i="1"/>
  <c r="Y15" i="1"/>
  <c r="Y47" i="1"/>
  <c r="Y67" i="1"/>
  <c r="W53" i="1"/>
  <c r="W52" i="1"/>
  <c r="W7" i="1"/>
  <c r="Y11" i="1"/>
  <c r="W23" i="1"/>
  <c r="Y27" i="1"/>
  <c r="Y35" i="1"/>
  <c r="W43" i="1"/>
  <c r="S67" i="1"/>
  <c r="W11" i="4"/>
  <c r="W16" i="4"/>
  <c r="W9" i="4"/>
  <c r="Y9" i="4"/>
  <c r="W24" i="4"/>
  <c r="W31" i="4"/>
  <c r="W6" i="4"/>
  <c r="W21" i="4"/>
  <c r="Y24" i="4"/>
  <c r="Q31" i="4"/>
  <c r="S31" i="4" s="1"/>
  <c r="W22" i="4"/>
  <c r="W25" i="4"/>
  <c r="W4" i="4"/>
  <c r="Q16" i="4"/>
  <c r="Y16" i="4" s="1"/>
  <c r="Y14" i="4"/>
  <c r="Y19" i="4"/>
  <c r="Y4" i="4"/>
  <c r="W14" i="4"/>
  <c r="W15" i="4"/>
  <c r="W18" i="4"/>
  <c r="W29" i="4"/>
  <c r="W19" i="4"/>
  <c r="U4" i="4"/>
  <c r="S19" i="4"/>
  <c r="W26" i="4"/>
  <c r="W30" i="4"/>
  <c r="S9" i="6"/>
  <c r="S8" i="6"/>
  <c r="Y8" i="6"/>
  <c r="U8" i="6"/>
  <c r="P6" i="6"/>
  <c r="W8" i="6"/>
  <c r="U9" i="6"/>
  <c r="P7" i="6"/>
  <c r="W9" i="6"/>
  <c r="Y9" i="6"/>
  <c r="P5" i="6"/>
  <c r="P10" i="6"/>
  <c r="Y21" i="4"/>
  <c r="U21" i="4"/>
  <c r="S21" i="4"/>
  <c r="Y6" i="4"/>
  <c r="U6" i="4"/>
  <c r="S6" i="4"/>
  <c r="P22" i="4"/>
  <c r="P17" i="4"/>
  <c r="P12" i="4"/>
  <c r="S29" i="4"/>
  <c r="P7" i="4"/>
  <c r="U29" i="4"/>
  <c r="S24" i="4"/>
  <c r="P10" i="4"/>
  <c r="P5" i="4"/>
  <c r="Y11" i="4"/>
  <c r="U11" i="4"/>
  <c r="S11" i="4"/>
  <c r="P27" i="4"/>
  <c r="S14" i="4"/>
  <c r="Y31" i="4"/>
  <c r="U31" i="4"/>
  <c r="U14" i="4"/>
  <c r="S9" i="4"/>
  <c r="Y26" i="4"/>
  <c r="U26" i="4"/>
  <c r="S26" i="4"/>
  <c r="P15" i="4"/>
  <c r="P20" i="4"/>
  <c r="P25" i="4"/>
  <c r="P30" i="4"/>
  <c r="P8" i="4"/>
  <c r="P13" i="4"/>
  <c r="P18" i="4"/>
  <c r="P23" i="4"/>
  <c r="P28" i="4"/>
  <c r="Y70" i="3"/>
  <c r="S70" i="3"/>
  <c r="U70" i="3"/>
  <c r="S71" i="3"/>
  <c r="Y71" i="3"/>
  <c r="U71" i="3"/>
  <c r="Y75" i="3"/>
  <c r="U75" i="3"/>
  <c r="S75" i="3"/>
  <c r="Y74" i="3"/>
  <c r="U74" i="3"/>
  <c r="S74" i="3"/>
  <c r="P73" i="3"/>
  <c r="P76" i="3"/>
  <c r="W71" i="3"/>
  <c r="P72" i="3"/>
  <c r="W74" i="3"/>
  <c r="P77" i="3"/>
  <c r="W65" i="3"/>
  <c r="P65" i="3"/>
  <c r="W64" i="3"/>
  <c r="P64" i="3"/>
  <c r="W63" i="3"/>
  <c r="P63" i="3"/>
  <c r="W62" i="3"/>
  <c r="P62" i="3"/>
  <c r="W61" i="3"/>
  <c r="P61" i="3"/>
  <c r="S16" i="3"/>
  <c r="Y40" i="3"/>
  <c r="U40" i="3"/>
  <c r="S40" i="3"/>
  <c r="Y58" i="3"/>
  <c r="U58" i="3"/>
  <c r="S58" i="3"/>
  <c r="Y51" i="3"/>
  <c r="U51" i="3"/>
  <c r="S51" i="3"/>
  <c r="Y26" i="3"/>
  <c r="U26" i="3"/>
  <c r="S26" i="3"/>
  <c r="Y19" i="3"/>
  <c r="U19" i="3"/>
  <c r="S19" i="3"/>
  <c r="U39" i="3"/>
  <c r="S39" i="3"/>
  <c r="Y39" i="3"/>
  <c r="Y7" i="3"/>
  <c r="U7" i="3"/>
  <c r="S7" i="3"/>
  <c r="U15" i="3"/>
  <c r="S15" i="3"/>
  <c r="Y15" i="3"/>
  <c r="S24" i="3"/>
  <c r="Y24" i="3"/>
  <c r="U24" i="3"/>
  <c r="Y35" i="3"/>
  <c r="U35" i="3"/>
  <c r="S35" i="3"/>
  <c r="U11" i="3"/>
  <c r="S11" i="3"/>
  <c r="Y11" i="3"/>
  <c r="S57" i="3"/>
  <c r="Y57" i="3"/>
  <c r="U57" i="3"/>
  <c r="U48" i="3"/>
  <c r="S48" i="3"/>
  <c r="Y48" i="3"/>
  <c r="Y23" i="3"/>
  <c r="U23" i="3"/>
  <c r="S23" i="3"/>
  <c r="S34" i="3"/>
  <c r="U34" i="3"/>
  <c r="Y34" i="3"/>
  <c r="S49" i="3"/>
  <c r="U25" i="3"/>
  <c r="Y25" i="3"/>
  <c r="S25" i="3"/>
  <c r="S9" i="3"/>
  <c r="P27" i="3"/>
  <c r="Q32" i="3"/>
  <c r="S32" i="3" s="1"/>
  <c r="S42" i="3"/>
  <c r="P55" i="3"/>
  <c r="U9" i="3"/>
  <c r="P17" i="3"/>
  <c r="U42" i="3"/>
  <c r="P50" i="3"/>
  <c r="P8" i="3"/>
  <c r="U33" i="3"/>
  <c r="P41" i="3"/>
  <c r="P31" i="3"/>
  <c r="W33" i="3"/>
  <c r="P56" i="3"/>
  <c r="U10" i="3"/>
  <c r="P18" i="3"/>
  <c r="W23" i="3"/>
  <c r="W51" i="3"/>
  <c r="U59" i="3"/>
  <c r="U16" i="3"/>
  <c r="W26" i="3"/>
  <c r="U49" i="3"/>
  <c r="S33" i="3"/>
  <c r="Y71" i="2"/>
  <c r="U71" i="2"/>
  <c r="S71" i="2"/>
  <c r="Y72" i="2"/>
  <c r="U72" i="2"/>
  <c r="S72" i="2"/>
  <c r="Y62" i="2"/>
  <c r="U62" i="2"/>
  <c r="S62" i="2"/>
  <c r="S63" i="2"/>
  <c r="Y63" i="2"/>
  <c r="U63" i="2"/>
  <c r="S74" i="2"/>
  <c r="Y74" i="2"/>
  <c r="U74" i="2"/>
  <c r="Y64" i="2"/>
  <c r="U64" i="2"/>
  <c r="S64" i="2"/>
  <c r="Y75" i="2"/>
  <c r="U75" i="2"/>
  <c r="S75" i="2"/>
  <c r="U76" i="2"/>
  <c r="S76" i="2"/>
  <c r="Y76" i="2"/>
  <c r="Y65" i="2"/>
  <c r="U65" i="2"/>
  <c r="S65" i="2"/>
  <c r="Y66" i="2"/>
  <c r="S66" i="2"/>
  <c r="U66" i="2"/>
  <c r="Y67" i="2"/>
  <c r="S67" i="2"/>
  <c r="U67" i="2"/>
  <c r="Y78" i="2"/>
  <c r="U78" i="2"/>
  <c r="S78" i="2"/>
  <c r="P17" i="2"/>
  <c r="W62" i="2"/>
  <c r="P77" i="2"/>
  <c r="W72" i="2"/>
  <c r="W75" i="2"/>
  <c r="W67" i="2"/>
  <c r="W74" i="2"/>
  <c r="W65" i="2"/>
  <c r="W63" i="2"/>
  <c r="P73" i="2"/>
  <c r="W66" i="2"/>
  <c r="W78" i="2"/>
  <c r="S29" i="1"/>
  <c r="W39" i="1"/>
  <c r="P66" i="1"/>
  <c r="W61" i="1"/>
  <c r="W5" i="1"/>
  <c r="W54" i="1"/>
  <c r="W41" i="1"/>
  <c r="W59" i="1"/>
  <c r="W35" i="1"/>
  <c r="W19" i="1"/>
  <c r="P5" i="1"/>
  <c r="U5" i="1" s="1"/>
  <c r="W25" i="1"/>
  <c r="W11" i="1"/>
  <c r="W31" i="1"/>
  <c r="W47" i="1"/>
  <c r="W57" i="1"/>
  <c r="S25" i="1"/>
  <c r="U25" i="1"/>
  <c r="S38" i="1"/>
  <c r="U38" i="1"/>
  <c r="Q52" i="1"/>
  <c r="U52" i="1" s="1"/>
  <c r="W21" i="1"/>
  <c r="U15" i="1"/>
  <c r="W38" i="1"/>
  <c r="U9" i="1"/>
  <c r="Q31" i="1"/>
  <c r="U12" i="1"/>
  <c r="P18" i="1"/>
  <c r="W12" i="1"/>
  <c r="P46" i="1"/>
  <c r="U32" i="1"/>
  <c r="W37" i="1"/>
  <c r="W32" i="1"/>
  <c r="U47" i="1"/>
  <c r="Q53" i="1"/>
  <c r="U53" i="1" s="1"/>
  <c r="P14" i="1"/>
  <c r="W60" i="1"/>
  <c r="P8" i="1"/>
  <c r="U49" i="1"/>
  <c r="P34" i="1"/>
  <c r="Y34" i="1" s="1"/>
  <c r="W55" i="1"/>
  <c r="P28" i="1"/>
  <c r="S28" i="1" s="1"/>
  <c r="P44" i="1"/>
  <c r="Y44" i="1" s="1"/>
  <c r="W49" i="1"/>
  <c r="W9" i="1"/>
  <c r="W15" i="1"/>
  <c r="W22" i="1"/>
  <c r="U50" i="1"/>
  <c r="P56" i="1"/>
  <c r="P63" i="1"/>
  <c r="Y63" i="1" s="1"/>
  <c r="S35" i="1"/>
  <c r="W50" i="1"/>
  <c r="U11" i="1"/>
  <c r="P40" i="1"/>
  <c r="W17" i="1"/>
  <c r="U35" i="1"/>
  <c r="U27" i="1"/>
  <c r="S27" i="1"/>
  <c r="W36" i="1"/>
  <c r="P36" i="1"/>
  <c r="Y36" i="1" s="1"/>
  <c r="P61" i="1"/>
  <c r="Y61" i="1" s="1"/>
  <c r="P23" i="1"/>
  <c r="Y23" i="1" s="1"/>
  <c r="S32" i="1"/>
  <c r="P10" i="1"/>
  <c r="Y10" i="1" s="1"/>
  <c r="P48" i="1"/>
  <c r="Y48" i="1" s="1"/>
  <c r="U6" i="1"/>
  <c r="S6" i="1"/>
  <c r="U45" i="1"/>
  <c r="S45" i="1"/>
  <c r="P62" i="1"/>
  <c r="Y62" i="1" s="1"/>
  <c r="P24" i="1"/>
  <c r="Y24" i="1" s="1"/>
  <c r="W33" i="1"/>
  <c r="P33" i="1"/>
  <c r="Y33" i="1" s="1"/>
  <c r="Q37" i="1"/>
  <c r="S37" i="1" s="1"/>
  <c r="W6" i="1"/>
  <c r="U41" i="1"/>
  <c r="S41" i="1"/>
  <c r="W45" i="1"/>
  <c r="U67" i="1"/>
  <c r="S11" i="1"/>
  <c r="S15" i="1"/>
  <c r="S49" i="1"/>
  <c r="W67" i="1"/>
  <c r="P20" i="1"/>
  <c r="Y20" i="1" s="1"/>
  <c r="P58" i="1"/>
  <c r="Y58" i="1" s="1"/>
  <c r="W68" i="1"/>
  <c r="P68" i="1"/>
  <c r="Y68" i="1" s="1"/>
  <c r="P7" i="1"/>
  <c r="Y7" i="1" s="1"/>
  <c r="U29" i="1"/>
  <c r="W16" i="1"/>
  <c r="P16" i="1"/>
  <c r="Y16" i="1" s="1"/>
  <c r="W29" i="1"/>
  <c r="W42" i="1"/>
  <c r="S12" i="1"/>
  <c r="U42" i="1"/>
  <c r="S42" i="1"/>
  <c r="S50" i="1"/>
  <c r="U64" i="1"/>
  <c r="S64" i="1"/>
  <c r="Q21" i="1"/>
  <c r="U21" i="1" s="1"/>
  <c r="P30" i="1"/>
  <c r="Y30" i="1" s="1"/>
  <c r="Q59" i="1"/>
  <c r="U26" i="1"/>
  <c r="S26" i="1"/>
  <c r="W64" i="1"/>
  <c r="P4" i="1"/>
  <c r="Y4" i="1" s="1"/>
  <c r="W13" i="1"/>
  <c r="P13" i="1"/>
  <c r="Y13" i="1" s="1"/>
  <c r="Q17" i="1"/>
  <c r="P43" i="1"/>
  <c r="Y43" i="1" s="1"/>
  <c r="W51" i="1"/>
  <c r="P51" i="1"/>
  <c r="Y51" i="1" s="1"/>
  <c r="Q55" i="1"/>
  <c r="U60" i="1"/>
  <c r="S60" i="1"/>
  <c r="U22" i="1"/>
  <c r="S22" i="1"/>
  <c r="W26" i="1"/>
  <c r="S9" i="1"/>
  <c r="W27" i="1"/>
  <c r="S47" i="1"/>
  <c r="P65" i="1"/>
  <c r="Y65" i="1" s="1"/>
  <c r="P54" i="1"/>
  <c r="Y54" i="1" s="1"/>
  <c r="P19" i="1"/>
  <c r="Y19" i="1" s="1"/>
  <c r="P39" i="1"/>
  <c r="Y39" i="1" s="1"/>
  <c r="P57" i="1"/>
  <c r="Y57" i="1" s="1"/>
  <c r="Y32" i="3" l="1"/>
  <c r="S59" i="3"/>
  <c r="Y10" i="3"/>
  <c r="S47" i="3"/>
  <c r="U47" i="3"/>
  <c r="S43" i="3"/>
  <c r="Y43" i="3"/>
  <c r="Y53" i="1"/>
  <c r="S59" i="1"/>
  <c r="Y59" i="1"/>
  <c r="U66" i="1"/>
  <c r="Y66" i="1"/>
  <c r="U17" i="1"/>
  <c r="Y17" i="1"/>
  <c r="U40" i="1"/>
  <c r="Y40" i="1"/>
  <c r="S8" i="1"/>
  <c r="Y8" i="1"/>
  <c r="S46" i="1"/>
  <c r="Y46" i="1"/>
  <c r="S55" i="1"/>
  <c r="Y55" i="1"/>
  <c r="S5" i="1"/>
  <c r="Y5" i="1"/>
  <c r="Y21" i="1"/>
  <c r="U14" i="1"/>
  <c r="Y14" i="1"/>
  <c r="S18" i="1"/>
  <c r="Y18" i="1"/>
  <c r="Y37" i="1"/>
  <c r="U28" i="1"/>
  <c r="Y28" i="1"/>
  <c r="U56" i="1"/>
  <c r="Y56" i="1"/>
  <c r="U31" i="1"/>
  <c r="Y31" i="1"/>
  <c r="Y52" i="1"/>
  <c r="S16" i="4"/>
  <c r="U16" i="4"/>
  <c r="Y5" i="6"/>
  <c r="U5" i="6"/>
  <c r="S5" i="6"/>
  <c r="Y10" i="6"/>
  <c r="U10" i="6"/>
  <c r="S10" i="6"/>
  <c r="Y7" i="6"/>
  <c r="U7" i="6"/>
  <c r="S7" i="6"/>
  <c r="Y6" i="6"/>
  <c r="U6" i="6"/>
  <c r="S6" i="6"/>
  <c r="Y18" i="4"/>
  <c r="U18" i="4"/>
  <c r="S18" i="4"/>
  <c r="Y13" i="4"/>
  <c r="U13" i="4"/>
  <c r="S13" i="4"/>
  <c r="Y10" i="4"/>
  <c r="U10" i="4"/>
  <c r="S10" i="4"/>
  <c r="Y30" i="4"/>
  <c r="U30" i="4"/>
  <c r="S30" i="4"/>
  <c r="Y25" i="4"/>
  <c r="U25" i="4"/>
  <c r="S25" i="4"/>
  <c r="Y20" i="4"/>
  <c r="U20" i="4"/>
  <c r="S20" i="4"/>
  <c r="Y15" i="4"/>
  <c r="U15" i="4"/>
  <c r="S15" i="4"/>
  <c r="Y5" i="4"/>
  <c r="U5" i="4"/>
  <c r="S5" i="4"/>
  <c r="Y8" i="4"/>
  <c r="U8" i="4"/>
  <c r="S8" i="4"/>
  <c r="Y7" i="4"/>
  <c r="U7" i="4"/>
  <c r="S7" i="4"/>
  <c r="Y12" i="4"/>
  <c r="U12" i="4"/>
  <c r="S12" i="4"/>
  <c r="Y17" i="4"/>
  <c r="U17" i="4"/>
  <c r="S17" i="4"/>
  <c r="Y22" i="4"/>
  <c r="U22" i="4"/>
  <c r="S22" i="4"/>
  <c r="S27" i="4"/>
  <c r="Y27" i="4"/>
  <c r="U27" i="4"/>
  <c r="Y28" i="4"/>
  <c r="U28" i="4"/>
  <c r="S28" i="4"/>
  <c r="Y23" i="4"/>
  <c r="U23" i="4"/>
  <c r="S23" i="4"/>
  <c r="U77" i="3"/>
  <c r="S77" i="3"/>
  <c r="Y77" i="3"/>
  <c r="U72" i="3"/>
  <c r="S72" i="3"/>
  <c r="Y72" i="3"/>
  <c r="Y76" i="3"/>
  <c r="U76" i="3"/>
  <c r="S76" i="3"/>
  <c r="Y73" i="3"/>
  <c r="U73" i="3"/>
  <c r="S73" i="3"/>
  <c r="S65" i="3"/>
  <c r="U65" i="3"/>
  <c r="Y65" i="3"/>
  <c r="S64" i="3"/>
  <c r="U64" i="3"/>
  <c r="Y64" i="3"/>
  <c r="S63" i="3"/>
  <c r="U63" i="3"/>
  <c r="Y63" i="3"/>
  <c r="S62" i="3"/>
  <c r="U62" i="3"/>
  <c r="Y62" i="3"/>
  <c r="S61" i="3"/>
  <c r="U61" i="3"/>
  <c r="Y61" i="3"/>
  <c r="Y56" i="3"/>
  <c r="U56" i="3"/>
  <c r="S56" i="3"/>
  <c r="U18" i="3"/>
  <c r="Y18" i="3"/>
  <c r="S18" i="3"/>
  <c r="Y55" i="3"/>
  <c r="U55" i="3"/>
  <c r="S55" i="3"/>
  <c r="Y27" i="3"/>
  <c r="U27" i="3"/>
  <c r="S27" i="3"/>
  <c r="U31" i="3"/>
  <c r="Y31" i="3"/>
  <c r="S31" i="3"/>
  <c r="U41" i="3"/>
  <c r="Y41" i="3"/>
  <c r="S41" i="3"/>
  <c r="Y8" i="3"/>
  <c r="U8" i="3"/>
  <c r="S8" i="3"/>
  <c r="U32" i="3"/>
  <c r="Y50" i="3"/>
  <c r="U50" i="3"/>
  <c r="S50" i="3"/>
  <c r="Y17" i="3"/>
  <c r="U17" i="3"/>
  <c r="S17" i="3"/>
  <c r="U77" i="2"/>
  <c r="Y77" i="2"/>
  <c r="S77" i="2"/>
  <c r="S17" i="2"/>
  <c r="Y17" i="2"/>
  <c r="U17" i="2"/>
  <c r="Y73" i="2"/>
  <c r="U73" i="2"/>
  <c r="S73" i="2"/>
  <c r="S66" i="1"/>
  <c r="S52" i="1"/>
  <c r="S56" i="1"/>
  <c r="U18" i="1"/>
  <c r="S53" i="1"/>
  <c r="S31" i="1"/>
  <c r="U34" i="1"/>
  <c r="S34" i="1"/>
  <c r="U46" i="1"/>
  <c r="U59" i="1"/>
  <c r="U37" i="1"/>
  <c r="S14" i="1"/>
  <c r="S63" i="1"/>
  <c r="U63" i="1"/>
  <c r="U55" i="1"/>
  <c r="S40" i="1"/>
  <c r="U8" i="1"/>
  <c r="S44" i="1"/>
  <c r="U44" i="1"/>
  <c r="U19" i="1"/>
  <c r="S19" i="1"/>
  <c r="U51" i="1"/>
  <c r="S51" i="1"/>
  <c r="U68" i="1"/>
  <c r="S68" i="1"/>
  <c r="U43" i="1"/>
  <c r="S43" i="1"/>
  <c r="U24" i="1"/>
  <c r="S24" i="1"/>
  <c r="U58" i="1"/>
  <c r="S58" i="1"/>
  <c r="U13" i="1"/>
  <c r="S13" i="1"/>
  <c r="U20" i="1"/>
  <c r="S20" i="1"/>
  <c r="U61" i="1"/>
  <c r="S61" i="1"/>
  <c r="S65" i="1"/>
  <c r="U65" i="1"/>
  <c r="U4" i="1"/>
  <c r="S4" i="1"/>
  <c r="U36" i="1"/>
  <c r="S36" i="1"/>
  <c r="U30" i="1"/>
  <c r="S30" i="1"/>
  <c r="U33" i="1"/>
  <c r="S33" i="1"/>
  <c r="U54" i="1"/>
  <c r="S54" i="1"/>
  <c r="U62" i="1"/>
  <c r="S62" i="1"/>
  <c r="S21" i="1"/>
  <c r="S17" i="1"/>
  <c r="U48" i="1"/>
  <c r="S48" i="1"/>
  <c r="U16" i="1"/>
  <c r="S16" i="1"/>
  <c r="U10" i="1"/>
  <c r="S10" i="1"/>
  <c r="U57" i="1"/>
  <c r="S57" i="1"/>
  <c r="U23" i="1"/>
  <c r="S23" i="1"/>
  <c r="U39" i="1"/>
  <c r="S39" i="1"/>
  <c r="S7" i="1"/>
  <c r="U7" i="1"/>
</calcChain>
</file>

<file path=xl/sharedStrings.xml><?xml version="1.0" encoding="utf-8"?>
<sst xmlns="http://schemas.openxmlformats.org/spreadsheetml/2006/main" count="374" uniqueCount="260">
  <si>
    <t>Dilution factor consideration</t>
  </si>
  <si>
    <t>Moles</t>
  </si>
  <si>
    <t>Co/Ni Ratio</t>
  </si>
  <si>
    <t>Co selectivity</t>
  </si>
  <si>
    <t>Total amount of deposition (ppm)</t>
  </si>
  <si>
    <t>Solution Label</t>
  </si>
  <si>
    <t>Co Average ppm</t>
  </si>
  <si>
    <t>Ni Average ppm</t>
  </si>
  <si>
    <t>Co</t>
  </si>
  <si>
    <t>Ni</t>
  </si>
  <si>
    <t>PM 170</t>
  </si>
  <si>
    <t>PM 171</t>
  </si>
  <si>
    <t>PM 172</t>
  </si>
  <si>
    <t>PM 173</t>
  </si>
  <si>
    <t>PM 174</t>
  </si>
  <si>
    <t>PM 175</t>
  </si>
  <si>
    <t>PM 176</t>
  </si>
  <si>
    <t>PM 179</t>
  </si>
  <si>
    <t>PM 180</t>
  </si>
  <si>
    <t>PM 181</t>
  </si>
  <si>
    <t>PM 182</t>
  </si>
  <si>
    <t>PM 183</t>
  </si>
  <si>
    <t>PM 184</t>
  </si>
  <si>
    <t>PM 185</t>
  </si>
  <si>
    <t>PM 186</t>
  </si>
  <si>
    <t>PM 187</t>
  </si>
  <si>
    <t>PM 188</t>
  </si>
  <si>
    <t>PM 189</t>
  </si>
  <si>
    <t>PM 190</t>
  </si>
  <si>
    <t>PM 191</t>
  </si>
  <si>
    <t>PM 192</t>
  </si>
  <si>
    <t>PM 193</t>
  </si>
  <si>
    <t>PM 194</t>
  </si>
  <si>
    <t>PM 195</t>
  </si>
  <si>
    <t>PM 196</t>
  </si>
  <si>
    <t>PM 197</t>
  </si>
  <si>
    <t>PM 198</t>
  </si>
  <si>
    <t>PM 199</t>
  </si>
  <si>
    <t>PM 200</t>
  </si>
  <si>
    <t>PM 201</t>
  </si>
  <si>
    <t>PM 202</t>
  </si>
  <si>
    <t>PM 203</t>
  </si>
  <si>
    <t>PM 204</t>
  </si>
  <si>
    <t>PM 205</t>
  </si>
  <si>
    <t>PM 206</t>
  </si>
  <si>
    <t>PM 207</t>
  </si>
  <si>
    <t>PM 208</t>
  </si>
  <si>
    <t>PM 209-2</t>
  </si>
  <si>
    <t>PM 210</t>
  </si>
  <si>
    <t>PM 211</t>
  </si>
  <si>
    <t>PM 212</t>
  </si>
  <si>
    <t>PM 213</t>
  </si>
  <si>
    <t>PM 214-2</t>
  </si>
  <si>
    <t>PM 215</t>
  </si>
  <si>
    <t>PM 216</t>
  </si>
  <si>
    <t>PM 217</t>
  </si>
  <si>
    <t>PM 218</t>
  </si>
  <si>
    <t>PM 219</t>
  </si>
  <si>
    <t>PM 220</t>
  </si>
  <si>
    <t>PM 221</t>
  </si>
  <si>
    <t>PM 222</t>
  </si>
  <si>
    <t>PM 223</t>
  </si>
  <si>
    <t>PM 224</t>
  </si>
  <si>
    <t>PM 225</t>
  </si>
  <si>
    <t>PM 226</t>
  </si>
  <si>
    <t>PM 227</t>
  </si>
  <si>
    <t>PM 228</t>
  </si>
  <si>
    <t>PM 229</t>
  </si>
  <si>
    <t>PM 230</t>
  </si>
  <si>
    <t>PM 231</t>
  </si>
  <si>
    <t>PM 232</t>
  </si>
  <si>
    <t>PM 233</t>
  </si>
  <si>
    <t>PM 234</t>
  </si>
  <si>
    <t>PM 235</t>
  </si>
  <si>
    <t>PM 236</t>
  </si>
  <si>
    <t>ICP-OES Data</t>
  </si>
  <si>
    <t>Moles*10^6</t>
  </si>
  <si>
    <t>Total amount of deposition (moles)</t>
  </si>
  <si>
    <t>PM 255</t>
  </si>
  <si>
    <t>PM 256</t>
  </si>
  <si>
    <t>PM 257</t>
  </si>
  <si>
    <t>PM 258</t>
  </si>
  <si>
    <t>PM 259</t>
  </si>
  <si>
    <t>PM 260</t>
  </si>
  <si>
    <t>PM 261</t>
  </si>
  <si>
    <t>PM 262</t>
  </si>
  <si>
    <t>PM 263</t>
  </si>
  <si>
    <t>PM 264</t>
  </si>
  <si>
    <t>PM 265</t>
  </si>
  <si>
    <t>PM 266</t>
  </si>
  <si>
    <t>PM 267</t>
  </si>
  <si>
    <t>PM 268</t>
  </si>
  <si>
    <t>PM 269</t>
  </si>
  <si>
    <t>PM 270</t>
  </si>
  <si>
    <t>PM 271</t>
  </si>
  <si>
    <t>PM 272</t>
  </si>
  <si>
    <t>PM 273</t>
  </si>
  <si>
    <t>PM 274</t>
  </si>
  <si>
    <t>PM 275</t>
  </si>
  <si>
    <t>PM 276</t>
  </si>
  <si>
    <t>PM 277</t>
  </si>
  <si>
    <t>PM 278</t>
  </si>
  <si>
    <t>PM 279</t>
  </si>
  <si>
    <t>PM 280</t>
  </si>
  <si>
    <t>PM 281</t>
  </si>
  <si>
    <t>PM 282</t>
  </si>
  <si>
    <t>PM 283</t>
  </si>
  <si>
    <t>PM 284</t>
  </si>
  <si>
    <t>PM 285</t>
  </si>
  <si>
    <t>PM 286</t>
  </si>
  <si>
    <t>PM 287</t>
  </si>
  <si>
    <t>PM 288</t>
  </si>
  <si>
    <t>PM 289</t>
  </si>
  <si>
    <t>PM 290</t>
  </si>
  <si>
    <t>PM 291</t>
  </si>
  <si>
    <t>PM 292</t>
  </si>
  <si>
    <t>PM 293</t>
  </si>
  <si>
    <t>PM 294</t>
  </si>
  <si>
    <t>PM 295</t>
  </si>
  <si>
    <t>PM 296</t>
  </si>
  <si>
    <t>PM 297</t>
  </si>
  <si>
    <t>PM 298</t>
  </si>
  <si>
    <t>PM 299</t>
  </si>
  <si>
    <t>PM 300</t>
  </si>
  <si>
    <t>PM 301</t>
  </si>
  <si>
    <t>PM 303</t>
  </si>
  <si>
    <t>PM 304</t>
  </si>
  <si>
    <t>PM 305</t>
  </si>
  <si>
    <t>PM 306</t>
  </si>
  <si>
    <t>PM 307</t>
  </si>
  <si>
    <t>PM 308</t>
  </si>
  <si>
    <t>PM 309</t>
  </si>
  <si>
    <t>PM 313</t>
  </si>
  <si>
    <t>PM 314</t>
  </si>
  <si>
    <t>PM 315</t>
  </si>
  <si>
    <t>PM 316</t>
  </si>
  <si>
    <t>PM 317</t>
  </si>
  <si>
    <t>PM 319</t>
  </si>
  <si>
    <t>PM 320</t>
  </si>
  <si>
    <t>PM 321</t>
  </si>
  <si>
    <t>PM 322</t>
  </si>
  <si>
    <t>PM 323</t>
  </si>
  <si>
    <t>PM 324</t>
  </si>
  <si>
    <t>PM 325</t>
  </si>
  <si>
    <t>PM 326</t>
  </si>
  <si>
    <t>PM 327</t>
  </si>
  <si>
    <t>PM 328</t>
  </si>
  <si>
    <t>PM 329</t>
  </si>
  <si>
    <t>PM 330</t>
  </si>
  <si>
    <t>PM 331</t>
  </si>
  <si>
    <t>PM 332</t>
  </si>
  <si>
    <t>PM 333</t>
  </si>
  <si>
    <t>PM 334</t>
  </si>
  <si>
    <t>PM 335</t>
  </si>
  <si>
    <t>PM 336</t>
  </si>
  <si>
    <t>PM 337</t>
  </si>
  <si>
    <t>PM 338</t>
  </si>
  <si>
    <t>PM 339</t>
  </si>
  <si>
    <t>PM 340</t>
  </si>
  <si>
    <t>PM 341</t>
  </si>
  <si>
    <t>PM 342</t>
  </si>
  <si>
    <t>PM 343</t>
  </si>
  <si>
    <t>PM 344</t>
  </si>
  <si>
    <t>PM 345</t>
  </si>
  <si>
    <t>PM 346</t>
  </si>
  <si>
    <t>PM 347</t>
  </si>
  <si>
    <t>PM 348</t>
  </si>
  <si>
    <t>PM 349</t>
  </si>
  <si>
    <t>PM 350</t>
  </si>
  <si>
    <t>PM 351</t>
  </si>
  <si>
    <t>PM 352</t>
  </si>
  <si>
    <t>PM 369</t>
  </si>
  <si>
    <t>PM 370</t>
  </si>
  <si>
    <t>PM 371</t>
  </si>
  <si>
    <t>PM 372</t>
  </si>
  <si>
    <t>PM 373</t>
  </si>
  <si>
    <t>PM 374</t>
  </si>
  <si>
    <t>PM 375</t>
  </si>
  <si>
    <t>PM 376</t>
  </si>
  <si>
    <t>PM 377</t>
  </si>
  <si>
    <t>PM 378</t>
  </si>
  <si>
    <t>PM 379</t>
  </si>
  <si>
    <t>PM 380</t>
  </si>
  <si>
    <t>PM 381</t>
  </si>
  <si>
    <t>PM 382</t>
  </si>
  <si>
    <t>PM 383</t>
  </si>
  <si>
    <t>PM 384</t>
  </si>
  <si>
    <t>PM 385</t>
  </si>
  <si>
    <t>PM 386</t>
  </si>
  <si>
    <t>PM 387</t>
  </si>
  <si>
    <t>PM 388</t>
  </si>
  <si>
    <t>PM 389</t>
  </si>
  <si>
    <t>PM 390</t>
  </si>
  <si>
    <t>PM 391</t>
  </si>
  <si>
    <t>PM 392</t>
  </si>
  <si>
    <t>PM 393</t>
  </si>
  <si>
    <t>PM 394</t>
  </si>
  <si>
    <t>PM 395</t>
  </si>
  <si>
    <t>PM 396</t>
  </si>
  <si>
    <t>PM 397</t>
  </si>
  <si>
    <t>PM 398</t>
  </si>
  <si>
    <t>PM 399</t>
  </si>
  <si>
    <t>PM 400</t>
  </si>
  <si>
    <t>PM 401</t>
  </si>
  <si>
    <t>PM 402</t>
  </si>
  <si>
    <t>PM 403</t>
  </si>
  <si>
    <t>PM 404</t>
  </si>
  <si>
    <t>PM 356</t>
  </si>
  <si>
    <t>PM 357</t>
  </si>
  <si>
    <t>PM 358</t>
  </si>
  <si>
    <t>PM 359</t>
  </si>
  <si>
    <t>PM 360</t>
  </si>
  <si>
    <t>PM 361</t>
  </si>
  <si>
    <t>t_deposition (ms)</t>
    <phoneticPr fontId="4" type="noConversion"/>
  </si>
  <si>
    <t>V_deposition (V)</t>
    <phoneticPr fontId="4" type="noConversion"/>
  </si>
  <si>
    <t>V_stripping (V)</t>
    <phoneticPr fontId="4" type="noConversion"/>
  </si>
  <si>
    <t>t_stripping (ms)</t>
    <phoneticPr fontId="4" type="noConversion"/>
  </si>
  <si>
    <t>Total t_deposition (s)</t>
    <phoneticPr fontId="4" type="noConversion"/>
  </si>
  <si>
    <t>PM 474</t>
  </si>
  <si>
    <t>PM 475</t>
  </si>
  <si>
    <t>PM 456</t>
  </si>
  <si>
    <t>PM 455</t>
  </si>
  <si>
    <t>PM 457</t>
  </si>
  <si>
    <t>PM 466</t>
    <phoneticPr fontId="4" type="noConversion"/>
  </si>
  <si>
    <t>PM 465</t>
    <phoneticPr fontId="4" type="noConversion"/>
  </si>
  <si>
    <t>PM 464</t>
    <phoneticPr fontId="4" type="noConversion"/>
  </si>
  <si>
    <t>PM 463</t>
    <phoneticPr fontId="4" type="noConversion"/>
  </si>
  <si>
    <t>PM 462</t>
    <phoneticPr fontId="4" type="noConversion"/>
  </si>
  <si>
    <t>PM 461</t>
    <phoneticPr fontId="4" type="noConversion"/>
  </si>
  <si>
    <t>V_deposition</t>
    <phoneticPr fontId="4" type="noConversion"/>
  </si>
  <si>
    <t>Total V_deposition (s)</t>
    <phoneticPr fontId="4" type="noConversion"/>
  </si>
  <si>
    <t>PM 499</t>
  </si>
  <si>
    <t>PM 467-3</t>
  </si>
  <si>
    <t>PM 468-3</t>
  </si>
  <si>
    <t>PM 469-3</t>
  </si>
  <si>
    <t>PM 500</t>
  </si>
  <si>
    <t>PM 351-5</t>
  </si>
  <si>
    <t xml:space="preserve">PM 501    </t>
  </si>
  <si>
    <t>PM 510</t>
  </si>
  <si>
    <t>PM 502</t>
  </si>
  <si>
    <t>PM 503</t>
  </si>
  <si>
    <t>PM 504</t>
  </si>
  <si>
    <t>PM 505</t>
  </si>
  <si>
    <t>PM 470-2</t>
  </si>
  <si>
    <t>PM 472-2</t>
  </si>
  <si>
    <t>PM 618</t>
  </si>
  <si>
    <t>PM 619</t>
  </si>
  <si>
    <t>PM 620</t>
  </si>
  <si>
    <t>PM 621</t>
  </si>
  <si>
    <t>PM 622</t>
  </si>
  <si>
    <t>PM 623</t>
  </si>
  <si>
    <t>PM 624</t>
  </si>
  <si>
    <t>PM 625</t>
  </si>
  <si>
    <t>PM 626</t>
  </si>
  <si>
    <t xml:space="preserve">PM 631 </t>
  </si>
  <si>
    <t>PM 632</t>
  </si>
  <si>
    <t>PM 633</t>
  </si>
  <si>
    <t>PM 634</t>
  </si>
  <si>
    <t>PM 635</t>
  </si>
  <si>
    <t>PM 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</si>
</sst>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EE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3"/>
      <charset val="129"/>
      <scheme val="minor"/>
    </font>
    <font>
      <sz val="11"/>
      <color rgb="FF9C0006"/>
      <name val="Aptos Narrow"/>
      <family val="2"/>
      <charset val="129"/>
      <scheme val="minor"/>
    </font>
    <font>
      <sz val="11"/>
      <color theme="1"/>
      <name val="Aptos Narrow"/>
      <scheme val="minor"/>
    </font>
    <font>
      <sz val="12"/>
      <color rgb="FF000000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7E7FF"/>
        <bgColor indexed="64"/>
      </patternFill>
    </fill>
    <fill>
      <patternFill patternType="solid">
        <fgColor rgb="FFFFE9BD"/>
        <bgColor indexed="64"/>
      </patternFill>
    </fill>
    <fill>
      <patternFill patternType="solid">
        <fgColor rgb="FFD9FFFF"/>
        <bgColor indexed="64"/>
      </patternFill>
    </fill>
    <fill>
      <patternFill patternType="solid">
        <fgColor rgb="FFFFE7EF"/>
        <bgColor indexed="64"/>
      </patternFill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10" borderId="0" applyNumberFormat="0" applyBorder="0" applyAlignment="0" applyProtection="0">
      <alignment vertical="center"/>
    </xf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0" fontId="0" fillId="2" borderId="1" xfId="0" applyFill="1" applyBorder="1"/>
    <xf numFmtId="0" fontId="0" fillId="3" borderId="1" xfId="0" applyFill="1" applyBorder="1"/>
    <xf numFmtId="2" fontId="0" fillId="3" borderId="1" xfId="0" applyNumberFormat="1" applyFill="1" applyBorder="1"/>
    <xf numFmtId="2" fontId="0" fillId="3" borderId="2" xfId="0" applyNumberFormat="1" applyFill="1" applyBorder="1"/>
    <xf numFmtId="0" fontId="0" fillId="0" borderId="3" xfId="0" applyBorder="1"/>
    <xf numFmtId="0" fontId="0" fillId="0" borderId="1" xfId="0" applyBorder="1"/>
    <xf numFmtId="0" fontId="0" fillId="4" borderId="1" xfId="0" applyFill="1" applyBorder="1"/>
    <xf numFmtId="2" fontId="0" fillId="4" borderId="1" xfId="0" applyNumberFormat="1" applyFill="1" applyBorder="1"/>
    <xf numFmtId="2" fontId="0" fillId="4" borderId="2" xfId="0" applyNumberFormat="1" applyFill="1" applyBorder="1"/>
    <xf numFmtId="0" fontId="0" fillId="5" borderId="1" xfId="0" applyFill="1" applyBorder="1"/>
    <xf numFmtId="2" fontId="0" fillId="5" borderId="1" xfId="0" applyNumberFormat="1" applyFill="1" applyBorder="1"/>
    <xf numFmtId="2" fontId="0" fillId="5" borderId="2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2" fontId="0" fillId="6" borderId="2" xfId="0" applyNumberFormat="1" applyFill="1" applyBorder="1"/>
    <xf numFmtId="0" fontId="0" fillId="7" borderId="1" xfId="0" applyFill="1" applyBorder="1"/>
    <xf numFmtId="2" fontId="0" fillId="7" borderId="1" xfId="0" applyNumberFormat="1" applyFill="1" applyBorder="1"/>
    <xf numFmtId="2" fontId="0" fillId="7" borderId="2" xfId="0" applyNumberFormat="1" applyFill="1" applyBorder="1"/>
    <xf numFmtId="0" fontId="0" fillId="8" borderId="1" xfId="0" applyFill="1" applyBorder="1"/>
    <xf numFmtId="2" fontId="0" fillId="8" borderId="1" xfId="0" applyNumberFormat="1" applyFill="1" applyBorder="1"/>
    <xf numFmtId="2" fontId="0" fillId="8" borderId="2" xfId="0" applyNumberFormat="1" applyFill="1" applyBorder="1"/>
    <xf numFmtId="0" fontId="0" fillId="9" borderId="1" xfId="0" applyFill="1" applyBorder="1"/>
    <xf numFmtId="2" fontId="0" fillId="9" borderId="1" xfId="0" applyNumberFormat="1" applyFill="1" applyBorder="1"/>
    <xf numFmtId="2" fontId="0" fillId="9" borderId="2" xfId="0" applyNumberFormat="1" applyFill="1" applyBorder="1"/>
    <xf numFmtId="0" fontId="0" fillId="2" borderId="0" xfId="0" applyFill="1"/>
    <xf numFmtId="2" fontId="2" fillId="6" borderId="1" xfId="0" applyNumberFormat="1" applyFont="1" applyFill="1" applyBorder="1"/>
    <xf numFmtId="0" fontId="1" fillId="0" borderId="4" xfId="0" applyFont="1" applyBorder="1"/>
    <xf numFmtId="2" fontId="1" fillId="3" borderId="1" xfId="0" applyNumberFormat="1" applyFont="1" applyFill="1" applyBorder="1"/>
    <xf numFmtId="0" fontId="1" fillId="4" borderId="1" xfId="0" applyFont="1" applyFill="1" applyBorder="1"/>
    <xf numFmtId="0" fontId="3" fillId="0" borderId="0" xfId="0" applyFont="1"/>
    <xf numFmtId="0" fontId="3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0" fillId="9" borderId="5" xfId="0" applyFill="1" applyBorder="1"/>
    <xf numFmtId="0" fontId="5" fillId="10" borderId="0" xfId="1" applyAlignment="1"/>
    <xf numFmtId="2" fontId="5" fillId="10" borderId="1" xfId="1" applyNumberFormat="1" applyBorder="1" applyAlignment="1"/>
    <xf numFmtId="2" fontId="5" fillId="10" borderId="0" xfId="1" applyNumberFormat="1" applyAlignment="1"/>
    <xf numFmtId="0" fontId="0" fillId="0" borderId="0" xfId="0" applyAlignment="1">
      <alignment vertical="center"/>
    </xf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0" borderId="6" xfId="0" applyBorder="1"/>
    <xf numFmtId="11" fontId="0" fillId="0" borderId="0" xfId="0" applyNumberFormat="1"/>
    <xf numFmtId="0" fontId="6" fillId="0" borderId="0" xfId="0" applyFont="1"/>
    <xf numFmtId="0" fontId="7" fillId="0" borderId="0" xfId="0" applyFont="1" applyAlignment="1">
      <alignment horizontal="right" readingOrder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colors>
    <mruColors>
      <color rgb="FFE7E7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EF1A7-FFF6-4F7A-B336-C960563AE3AD}">
  <sheetPr codeName="Sheet1"/>
  <dimension ref="A1:KK76"/>
  <sheetViews>
    <sheetView topLeftCell="A34" zoomScale="64" zoomScaleNormal="70" workbookViewId="0">
      <selection activeCell="G70" sqref="G70"/>
    </sheetView>
  </sheetViews>
  <sheetFormatPr baseColWidth="10" defaultColWidth="8.83203125" defaultRowHeight="15" x14ac:dyDescent="0.2"/>
  <cols>
    <col min="2" max="2" width="14.33203125" customWidth="1"/>
    <col min="12" max="12" width="8.33203125" customWidth="1"/>
    <col min="13" max="14" width="13.6640625" customWidth="1"/>
    <col min="19" max="23" width="8.6640625" style="4"/>
    <col min="25" max="25" width="13.33203125" bestFit="1" customWidth="1"/>
  </cols>
  <sheetData>
    <row r="1" spans="1:297" x14ac:dyDescent="0.2">
      <c r="J1" s="57" t="s">
        <v>75</v>
      </c>
      <c r="K1" s="57"/>
      <c r="L1" s="2"/>
      <c r="M1" s="57" t="s">
        <v>0</v>
      </c>
      <c r="N1" s="57"/>
      <c r="O1" s="1"/>
      <c r="P1" s="57" t="s">
        <v>1</v>
      </c>
      <c r="Q1" s="57"/>
      <c r="R1" s="2"/>
      <c r="S1" s="3" t="s">
        <v>2</v>
      </c>
      <c r="U1" s="3" t="s">
        <v>3</v>
      </c>
      <c r="W1" s="3" t="s">
        <v>4</v>
      </c>
      <c r="Y1" s="3" t="s">
        <v>77</v>
      </c>
    </row>
    <row r="3" spans="1:297" x14ac:dyDescent="0.2">
      <c r="B3" s="31" t="s">
        <v>5</v>
      </c>
      <c r="C3" s="2" t="s">
        <v>214</v>
      </c>
      <c r="D3" s="2" t="s">
        <v>213</v>
      </c>
      <c r="E3" s="2" t="s">
        <v>215</v>
      </c>
      <c r="F3" s="2" t="s">
        <v>216</v>
      </c>
      <c r="G3" s="2"/>
      <c r="H3" s="2" t="s">
        <v>217</v>
      </c>
      <c r="J3" s="2" t="s">
        <v>6</v>
      </c>
      <c r="K3" s="2" t="s">
        <v>7</v>
      </c>
      <c r="L3" s="2"/>
      <c r="M3" s="2" t="s">
        <v>8</v>
      </c>
      <c r="N3" s="2" t="s">
        <v>9</v>
      </c>
      <c r="O3" s="2"/>
      <c r="P3" s="2" t="s">
        <v>8</v>
      </c>
      <c r="Q3" s="2" t="s">
        <v>9</v>
      </c>
      <c r="R3" s="2"/>
      <c r="S3" s="3"/>
      <c r="T3" s="3"/>
      <c r="U3" s="3"/>
    </row>
    <row r="4" spans="1:297" s="6" customFormat="1" x14ac:dyDescent="0.2">
      <c r="A4" s="5"/>
      <c r="B4" s="6" t="s">
        <v>10</v>
      </c>
      <c r="C4" s="6">
        <v>-0.9</v>
      </c>
      <c r="D4" s="6">
        <v>5</v>
      </c>
      <c r="E4" s="6">
        <v>0</v>
      </c>
      <c r="F4" s="6">
        <v>10</v>
      </c>
      <c r="H4" s="6">
        <v>40</v>
      </c>
      <c r="J4" s="6">
        <v>2.1399999999999999E-2</v>
      </c>
      <c r="K4" s="6">
        <v>1.8800000000000001E-2</v>
      </c>
      <c r="M4" s="6">
        <f>J4*4.44</f>
        <v>9.5016000000000003E-2</v>
      </c>
      <c r="N4" s="6">
        <f>K4*4.44</f>
        <v>8.3472000000000005E-2</v>
      </c>
      <c r="P4" s="6">
        <f>M4/58.93</f>
        <v>1.6123536399117598E-3</v>
      </c>
      <c r="Q4" s="6">
        <f>N4/58.69</f>
        <v>1.4222525132049754E-3</v>
      </c>
      <c r="S4" s="7">
        <f>P4/Q4</f>
        <v>1.1336620079358488</v>
      </c>
      <c r="T4" s="7"/>
      <c r="U4" s="7">
        <f>P4*100/(P4+Q4)</f>
        <v>53.132220741586828</v>
      </c>
      <c r="V4" s="8"/>
      <c r="W4" s="43">
        <f>M4+N4</f>
        <v>0.17848800000000001</v>
      </c>
      <c r="X4"/>
      <c r="Y4" s="42">
        <f t="shared" ref="Y4:Y67" si="0">(P4+Q4)/1000000</f>
        <v>3.0346061531167352E-9</v>
      </c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 s="9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</row>
    <row r="5" spans="1:297" s="6" customFormat="1" x14ac:dyDescent="0.2">
      <c r="A5" s="5"/>
      <c r="B5" s="6" t="s">
        <v>11</v>
      </c>
      <c r="C5" s="6">
        <v>-0.9</v>
      </c>
      <c r="D5" s="6">
        <v>10</v>
      </c>
      <c r="E5" s="6">
        <v>0</v>
      </c>
      <c r="F5" s="6">
        <v>10</v>
      </c>
      <c r="H5" s="6">
        <v>40</v>
      </c>
      <c r="J5" s="6">
        <v>2.4199999999999999E-2</v>
      </c>
      <c r="K5" s="6">
        <v>2.1600000000000001E-2</v>
      </c>
      <c r="M5" s="6">
        <f t="shared" ref="M5:N66" si="1">J5*4.44</f>
        <v>0.107448</v>
      </c>
      <c r="N5" s="6">
        <f t="shared" si="1"/>
        <v>9.5904000000000017E-2</v>
      </c>
      <c r="P5" s="6">
        <f t="shared" ref="P5:P66" si="2">M5/58.93</f>
        <v>1.8233157984048872E-3</v>
      </c>
      <c r="Q5" s="6">
        <f t="shared" ref="Q5:Q66" si="3">N5/58.69</f>
        <v>1.634077355597206E-3</v>
      </c>
      <c r="S5" s="7">
        <f t="shared" ref="S5:S66" si="4">P5/Q5</f>
        <v>1.1158075180220095</v>
      </c>
      <c r="T5" s="7"/>
      <c r="U5" s="7">
        <f t="shared" ref="U5:U66" si="5">P5*100/(P5+Q5)</f>
        <v>52.736721488972535</v>
      </c>
      <c r="V5" s="8"/>
      <c r="W5" s="43">
        <f t="shared" ref="W5:W51" si="6">M5+N5</f>
        <v>0.20335200000000003</v>
      </c>
      <c r="X5"/>
      <c r="Y5" s="42">
        <f t="shared" si="0"/>
        <v>3.4573931540020933E-9</v>
      </c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 s="9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  <c r="IX5" s="10"/>
      <c r="IY5" s="10"/>
      <c r="IZ5" s="10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JP5" s="10"/>
      <c r="JQ5" s="10"/>
      <c r="JR5" s="10"/>
      <c r="JS5" s="10"/>
      <c r="JT5" s="10"/>
      <c r="JU5" s="10"/>
      <c r="JV5" s="10"/>
      <c r="JW5" s="10"/>
      <c r="JX5" s="10"/>
      <c r="JY5" s="10"/>
      <c r="JZ5" s="10"/>
      <c r="KA5" s="10"/>
      <c r="KB5" s="10"/>
      <c r="KC5" s="10"/>
      <c r="KD5" s="10"/>
      <c r="KE5" s="10"/>
      <c r="KF5" s="10"/>
      <c r="KG5" s="10"/>
      <c r="KH5" s="10"/>
      <c r="KI5" s="10"/>
      <c r="KJ5" s="10"/>
      <c r="KK5" s="10"/>
    </row>
    <row r="6" spans="1:297" s="6" customFormat="1" x14ac:dyDescent="0.2">
      <c r="A6" s="5"/>
      <c r="B6" s="6" t="s">
        <v>12</v>
      </c>
      <c r="C6" s="6">
        <v>-0.9</v>
      </c>
      <c r="D6" s="6">
        <v>25</v>
      </c>
      <c r="E6" s="6">
        <v>0</v>
      </c>
      <c r="F6" s="6">
        <v>10</v>
      </c>
      <c r="H6" s="6">
        <v>40</v>
      </c>
      <c r="J6" s="6">
        <v>2.1499999999999998E-2</v>
      </c>
      <c r="K6" s="6">
        <v>1.8800000000000001E-2</v>
      </c>
      <c r="M6" s="6">
        <f t="shared" si="1"/>
        <v>9.5460000000000003E-2</v>
      </c>
      <c r="N6" s="6">
        <f t="shared" si="1"/>
        <v>8.3472000000000005E-2</v>
      </c>
      <c r="P6" s="6">
        <f t="shared" si="2"/>
        <v>1.6198880027150859E-3</v>
      </c>
      <c r="Q6" s="6">
        <f t="shared" si="3"/>
        <v>1.4222525132049754E-3</v>
      </c>
      <c r="S6" s="7">
        <f t="shared" si="4"/>
        <v>1.1389594939542407</v>
      </c>
      <c r="T6" s="7"/>
      <c r="U6" s="7">
        <f t="shared" si="5"/>
        <v>53.248296527984962</v>
      </c>
      <c r="V6" s="8"/>
      <c r="W6" s="43">
        <f t="shared" si="6"/>
        <v>0.17893200000000001</v>
      </c>
      <c r="X6"/>
      <c r="Y6" s="42">
        <f t="shared" si="0"/>
        <v>3.0421405159200613E-9</v>
      </c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 s="9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</row>
    <row r="7" spans="1:297" s="6" customFormat="1" x14ac:dyDescent="0.2">
      <c r="A7" s="5"/>
      <c r="B7" s="6" t="s">
        <v>13</v>
      </c>
      <c r="C7" s="6">
        <v>-0.9</v>
      </c>
      <c r="D7" s="6">
        <v>50</v>
      </c>
      <c r="E7" s="6">
        <v>0</v>
      </c>
      <c r="F7" s="6">
        <v>10</v>
      </c>
      <c r="H7" s="6">
        <v>40</v>
      </c>
      <c r="J7" s="6">
        <v>2.5499999999999998E-2</v>
      </c>
      <c r="K7" s="6">
        <v>2.35E-2</v>
      </c>
      <c r="M7" s="6">
        <f t="shared" si="1"/>
        <v>0.11322</v>
      </c>
      <c r="N7" s="6">
        <f t="shared" si="1"/>
        <v>0.10434000000000002</v>
      </c>
      <c r="P7" s="6">
        <f t="shared" si="2"/>
        <v>1.9212625148481248E-3</v>
      </c>
      <c r="Q7" s="6">
        <f t="shared" si="3"/>
        <v>1.7778156415062195E-3</v>
      </c>
      <c r="S7" s="7">
        <f t="shared" si="4"/>
        <v>1.0806871477519304</v>
      </c>
      <c r="T7" s="7"/>
      <c r="U7" s="7">
        <f t="shared" si="5"/>
        <v>51.938954345902239</v>
      </c>
      <c r="V7" s="8"/>
      <c r="W7" s="43">
        <f t="shared" si="6"/>
        <v>0.21756000000000003</v>
      </c>
      <c r="X7"/>
      <c r="Y7" s="42">
        <f t="shared" si="0"/>
        <v>3.6990781563543442E-9</v>
      </c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 s="9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</row>
    <row r="8" spans="1:297" s="6" customFormat="1" x14ac:dyDescent="0.2">
      <c r="A8" s="5"/>
      <c r="B8" s="6" t="s">
        <v>14</v>
      </c>
      <c r="C8" s="6">
        <v>-0.9</v>
      </c>
      <c r="D8" s="6">
        <v>100</v>
      </c>
      <c r="E8" s="6">
        <v>0</v>
      </c>
      <c r="F8" s="6">
        <v>10</v>
      </c>
      <c r="H8" s="6">
        <v>40</v>
      </c>
      <c r="J8" s="6">
        <v>1.95E-2</v>
      </c>
      <c r="K8" s="6">
        <v>1.83E-2</v>
      </c>
      <c r="M8" s="6">
        <f t="shared" si="1"/>
        <v>8.6580000000000004E-2</v>
      </c>
      <c r="N8" s="6">
        <f t="shared" si="1"/>
        <v>8.1252000000000005E-2</v>
      </c>
      <c r="P8" s="6">
        <f t="shared" si="2"/>
        <v>1.4692007466485663E-3</v>
      </c>
      <c r="Q8" s="6">
        <f t="shared" si="3"/>
        <v>1.3844266484920771E-3</v>
      </c>
      <c r="S8" s="7">
        <f t="shared" si="4"/>
        <v>1.0612340843401313</v>
      </c>
      <c r="T8" s="7"/>
      <c r="U8" s="7">
        <f t="shared" si="5"/>
        <v>51.485374339706162</v>
      </c>
      <c r="V8" s="8"/>
      <c r="W8" s="43">
        <f t="shared" si="6"/>
        <v>0.16783200000000001</v>
      </c>
      <c r="X8"/>
      <c r="Y8" s="42">
        <f t="shared" si="0"/>
        <v>2.8536273951406433E-9</v>
      </c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 s="9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  <c r="IX8" s="10"/>
      <c r="IY8" s="10"/>
      <c r="IZ8" s="10"/>
      <c r="JA8" s="10"/>
      <c r="JB8" s="10"/>
      <c r="JC8" s="10"/>
      <c r="JD8" s="10"/>
      <c r="JE8" s="10"/>
      <c r="JF8" s="10"/>
      <c r="JG8" s="10"/>
      <c r="JH8" s="10"/>
      <c r="JI8" s="10"/>
      <c r="JJ8" s="10"/>
      <c r="JK8" s="10"/>
      <c r="JL8" s="10"/>
      <c r="JM8" s="10"/>
      <c r="JN8" s="10"/>
      <c r="JO8" s="10"/>
      <c r="JP8" s="10"/>
      <c r="JQ8" s="10"/>
      <c r="JR8" s="10"/>
      <c r="JS8" s="10"/>
      <c r="JT8" s="10"/>
      <c r="JU8" s="10"/>
      <c r="JV8" s="10"/>
      <c r="JW8" s="10"/>
      <c r="JX8" s="10"/>
      <c r="JY8" s="10"/>
      <c r="JZ8" s="10"/>
      <c r="KA8" s="10"/>
      <c r="KB8" s="10"/>
      <c r="KC8" s="10"/>
      <c r="KD8" s="10"/>
      <c r="KE8" s="10"/>
      <c r="KF8" s="10"/>
      <c r="KG8" s="10"/>
      <c r="KH8" s="10"/>
      <c r="KI8" s="10"/>
      <c r="KJ8" s="10"/>
      <c r="KK8" s="10"/>
    </row>
    <row r="9" spans="1:297" s="6" customFormat="1" x14ac:dyDescent="0.2">
      <c r="A9" s="5"/>
      <c r="B9" s="6" t="s">
        <v>15</v>
      </c>
      <c r="C9" s="6">
        <v>-0.9</v>
      </c>
      <c r="D9" s="6">
        <v>250</v>
      </c>
      <c r="E9" s="6">
        <v>0</v>
      </c>
      <c r="F9" s="6">
        <v>10</v>
      </c>
      <c r="H9" s="6">
        <v>40</v>
      </c>
      <c r="J9" s="6">
        <v>2.0500000000000001E-2</v>
      </c>
      <c r="K9" s="6">
        <v>1.9599999999999999E-2</v>
      </c>
      <c r="M9" s="6">
        <f t="shared" si="1"/>
        <v>9.1020000000000018E-2</v>
      </c>
      <c r="N9" s="6">
        <f t="shared" si="1"/>
        <v>8.7024000000000004E-2</v>
      </c>
      <c r="P9" s="6">
        <f t="shared" si="2"/>
        <v>1.5445443746818263E-3</v>
      </c>
      <c r="Q9" s="6">
        <f t="shared" si="3"/>
        <v>1.4827738967456126E-3</v>
      </c>
      <c r="S9" s="7">
        <f t="shared" si="4"/>
        <v>1.041658730351126</v>
      </c>
      <c r="T9" s="7"/>
      <c r="U9" s="7">
        <f t="shared" si="5"/>
        <v>51.020217770282336</v>
      </c>
      <c r="V9" s="8"/>
      <c r="W9" s="43">
        <f t="shared" si="6"/>
        <v>0.17804400000000004</v>
      </c>
      <c r="X9"/>
      <c r="Y9" s="42">
        <f t="shared" si="0"/>
        <v>3.0273182714274389E-9</v>
      </c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 s="9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</row>
    <row r="10" spans="1:297" s="6" customFormat="1" x14ac:dyDescent="0.2">
      <c r="A10" s="5"/>
      <c r="B10" s="6" t="s">
        <v>16</v>
      </c>
      <c r="C10" s="6">
        <v>-0.9</v>
      </c>
      <c r="D10" s="6">
        <v>500</v>
      </c>
      <c r="E10" s="6">
        <v>0</v>
      </c>
      <c r="F10" s="6">
        <v>10</v>
      </c>
      <c r="H10" s="6">
        <v>40</v>
      </c>
      <c r="J10" s="6">
        <v>2.0400000000000001E-2</v>
      </c>
      <c r="K10" s="6">
        <v>1.95E-2</v>
      </c>
      <c r="M10" s="6">
        <f t="shared" si="1"/>
        <v>9.0576000000000018E-2</v>
      </c>
      <c r="N10" s="6">
        <f t="shared" si="1"/>
        <v>8.6580000000000004E-2</v>
      </c>
      <c r="P10" s="6">
        <f t="shared" si="2"/>
        <v>1.5370100118785002E-3</v>
      </c>
      <c r="Q10" s="6">
        <f t="shared" si="3"/>
        <v>1.4752087238030329E-3</v>
      </c>
      <c r="S10" s="7">
        <f t="shared" si="4"/>
        <v>1.0418932501403231</v>
      </c>
      <c r="T10" s="7"/>
      <c r="U10" s="7">
        <f t="shared" si="5"/>
        <v>51.025843298552559</v>
      </c>
      <c r="V10" s="8"/>
      <c r="W10" s="43">
        <f t="shared" si="6"/>
        <v>0.17715600000000004</v>
      </c>
      <c r="X10"/>
      <c r="Y10" s="42">
        <f t="shared" si="0"/>
        <v>3.0122187356815331E-9</v>
      </c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 s="9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10"/>
      <c r="IZ10" s="10"/>
      <c r="JA10" s="10"/>
      <c r="JB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/>
      <c r="JO10" s="10"/>
      <c r="JP10" s="10"/>
      <c r="JQ10" s="10"/>
      <c r="JR10" s="10"/>
      <c r="JS10" s="10"/>
      <c r="JT10" s="10"/>
      <c r="JU10" s="10"/>
      <c r="JV10" s="10"/>
      <c r="JW10" s="10"/>
      <c r="JX10" s="10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</row>
    <row r="11" spans="1:297" s="6" customFormat="1" x14ac:dyDescent="0.2">
      <c r="A11" s="5"/>
      <c r="B11" s="6" t="s">
        <v>17</v>
      </c>
      <c r="C11" s="6">
        <v>-0.9</v>
      </c>
      <c r="D11" s="6">
        <v>1000</v>
      </c>
      <c r="E11" s="6">
        <v>0</v>
      </c>
      <c r="F11" s="6">
        <v>10</v>
      </c>
      <c r="H11" s="6">
        <v>100</v>
      </c>
      <c r="J11" s="6">
        <v>0.1542</v>
      </c>
      <c r="K11" s="6">
        <v>4.0300000000000002E-2</v>
      </c>
      <c r="M11" s="6">
        <f t="shared" si="1"/>
        <v>0.68464800000000003</v>
      </c>
      <c r="N11" s="6">
        <f t="shared" si="1"/>
        <v>0.17893200000000004</v>
      </c>
      <c r="P11" s="6">
        <f t="shared" si="2"/>
        <v>1.1617987442728663E-2</v>
      </c>
      <c r="Q11" s="6">
        <f t="shared" si="3"/>
        <v>3.048764695859602E-3</v>
      </c>
      <c r="S11" s="7">
        <f t="shared" si="4"/>
        <v>3.8107196198206306</v>
      </c>
      <c r="T11" s="7"/>
      <c r="U11" s="7">
        <f t="shared" si="5"/>
        <v>79.213089121222055</v>
      </c>
      <c r="V11" s="8"/>
      <c r="W11" s="7">
        <f t="shared" si="6"/>
        <v>0.86358000000000001</v>
      </c>
      <c r="X11"/>
      <c r="Y11">
        <f t="shared" si="0"/>
        <v>1.4666752138588264E-8</v>
      </c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 s="9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</row>
    <row r="12" spans="1:297" s="11" customFormat="1" x14ac:dyDescent="0.2">
      <c r="A12" s="5"/>
      <c r="B12" s="11" t="s">
        <v>18</v>
      </c>
      <c r="C12" s="11">
        <v>-1</v>
      </c>
      <c r="D12" s="11">
        <v>5</v>
      </c>
      <c r="E12" s="11">
        <v>0</v>
      </c>
      <c r="F12" s="11">
        <v>10</v>
      </c>
      <c r="H12" s="11">
        <v>100</v>
      </c>
      <c r="J12" s="11">
        <v>3.3399999999999999E-2</v>
      </c>
      <c r="K12" s="11">
        <v>3.2000000000000001E-2</v>
      </c>
      <c r="M12" s="6">
        <f t="shared" si="1"/>
        <v>0.14829600000000001</v>
      </c>
      <c r="N12" s="6">
        <f t="shared" si="1"/>
        <v>0.14208000000000001</v>
      </c>
      <c r="P12" s="11">
        <f t="shared" si="2"/>
        <v>2.5164771763108774E-3</v>
      </c>
      <c r="Q12" s="11">
        <f t="shared" si="3"/>
        <v>2.42085534162549E-3</v>
      </c>
      <c r="S12" s="12">
        <f t="shared" si="4"/>
        <v>1.0394991939589342</v>
      </c>
      <c r="T12" s="12"/>
      <c r="U12" s="12">
        <f t="shared" si="5"/>
        <v>50.96835522357479</v>
      </c>
      <c r="V12" s="13"/>
      <c r="W12" s="43">
        <f t="shared" si="6"/>
        <v>0.29037600000000002</v>
      </c>
      <c r="X12"/>
      <c r="Y12" s="42">
        <f t="shared" si="0"/>
        <v>4.9373325179363676E-9</v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 s="9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</row>
    <row r="13" spans="1:297" s="11" customFormat="1" x14ac:dyDescent="0.2">
      <c r="A13" s="5"/>
      <c r="B13" s="11" t="s">
        <v>19</v>
      </c>
      <c r="C13" s="11">
        <v>-1</v>
      </c>
      <c r="D13" s="11">
        <v>10</v>
      </c>
      <c r="E13" s="11">
        <v>0</v>
      </c>
      <c r="F13" s="11">
        <v>10</v>
      </c>
      <c r="H13" s="11">
        <v>100</v>
      </c>
      <c r="J13" s="11">
        <v>2.2100000000000002E-2</v>
      </c>
      <c r="K13" s="11">
        <v>1.9800000000000002E-2</v>
      </c>
      <c r="M13" s="6">
        <f t="shared" si="1"/>
        <v>9.8124000000000017E-2</v>
      </c>
      <c r="N13" s="6">
        <f t="shared" si="1"/>
        <v>8.7912000000000018E-2</v>
      </c>
      <c r="P13" s="11">
        <f t="shared" si="2"/>
        <v>1.6650941795350418E-3</v>
      </c>
      <c r="Q13" s="11">
        <f t="shared" si="3"/>
        <v>1.4979042426307722E-3</v>
      </c>
      <c r="S13" s="12">
        <f t="shared" si="4"/>
        <v>1.1116159045057736</v>
      </c>
      <c r="T13" s="12"/>
      <c r="U13" s="12">
        <f t="shared" si="5"/>
        <v>52.642902628920524</v>
      </c>
      <c r="V13" s="13"/>
      <c r="W13" s="43">
        <f t="shared" si="6"/>
        <v>0.18603600000000003</v>
      </c>
      <c r="X13"/>
      <c r="Y13" s="42">
        <f t="shared" si="0"/>
        <v>3.162998422165814E-9</v>
      </c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 s="9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</row>
    <row r="14" spans="1:297" s="11" customFormat="1" x14ac:dyDescent="0.2">
      <c r="A14" s="5"/>
      <c r="B14" s="11" t="s">
        <v>20</v>
      </c>
      <c r="C14" s="11">
        <v>-1</v>
      </c>
      <c r="D14" s="11">
        <v>25</v>
      </c>
      <c r="E14" s="11">
        <v>0</v>
      </c>
      <c r="F14" s="11">
        <v>10</v>
      </c>
      <c r="H14" s="11">
        <v>100</v>
      </c>
      <c r="J14" s="11">
        <v>2.6700000000000002E-2</v>
      </c>
      <c r="K14" s="11">
        <v>2.3400000000000001E-2</v>
      </c>
      <c r="M14" s="6">
        <f t="shared" si="1"/>
        <v>0.11854800000000001</v>
      </c>
      <c r="N14" s="6">
        <f t="shared" si="1"/>
        <v>0.10389600000000002</v>
      </c>
      <c r="P14" s="11">
        <f t="shared" si="2"/>
        <v>2.0116748684880369E-3</v>
      </c>
      <c r="Q14" s="11">
        <f t="shared" si="3"/>
        <v>1.7702504685636398E-3</v>
      </c>
      <c r="S14" s="12">
        <f t="shared" si="4"/>
        <v>1.1363786674324599</v>
      </c>
      <c r="T14" s="12"/>
      <c r="U14" s="12">
        <f t="shared" si="5"/>
        <v>53.191818695614543</v>
      </c>
      <c r="V14" s="13"/>
      <c r="W14" s="43">
        <f t="shared" si="6"/>
        <v>0.22244400000000003</v>
      </c>
      <c r="X14"/>
      <c r="Y14" s="42">
        <f t="shared" si="0"/>
        <v>3.7819253370516767E-9</v>
      </c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 s="9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</row>
    <row r="15" spans="1:297" s="11" customFormat="1" x14ac:dyDescent="0.2">
      <c r="A15" s="5"/>
      <c r="B15" s="11" t="s">
        <v>21</v>
      </c>
      <c r="C15" s="11">
        <v>-1</v>
      </c>
      <c r="D15" s="11">
        <v>50</v>
      </c>
      <c r="E15" s="11">
        <v>0</v>
      </c>
      <c r="F15" s="11">
        <v>10</v>
      </c>
      <c r="H15" s="11">
        <v>100</v>
      </c>
      <c r="J15" s="11">
        <v>2.47E-2</v>
      </c>
      <c r="K15" s="11">
        <v>2.23E-2</v>
      </c>
      <c r="M15" s="6">
        <f t="shared" si="1"/>
        <v>0.109668</v>
      </c>
      <c r="N15" s="6">
        <f t="shared" si="1"/>
        <v>9.9012000000000017E-2</v>
      </c>
      <c r="P15" s="11">
        <f t="shared" si="2"/>
        <v>1.8609876124215171E-3</v>
      </c>
      <c r="Q15" s="11">
        <f t="shared" si="3"/>
        <v>1.6870335661952635E-3</v>
      </c>
      <c r="S15" s="12">
        <f t="shared" si="4"/>
        <v>1.1031123800450331</v>
      </c>
      <c r="T15" s="12"/>
      <c r="U15" s="12">
        <f t="shared" si="5"/>
        <v>52.451423448014353</v>
      </c>
      <c r="V15" s="13"/>
      <c r="W15" s="43">
        <f t="shared" si="6"/>
        <v>0.20868000000000003</v>
      </c>
      <c r="X15"/>
      <c r="Y15" s="42">
        <f t="shared" si="0"/>
        <v>3.5480211786167805E-9</v>
      </c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 s="9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</row>
    <row r="16" spans="1:297" s="11" customFormat="1" x14ac:dyDescent="0.2">
      <c r="A16" s="5"/>
      <c r="B16" s="11" t="s">
        <v>22</v>
      </c>
      <c r="C16" s="11">
        <v>-1</v>
      </c>
      <c r="D16" s="11">
        <v>100</v>
      </c>
      <c r="E16" s="11">
        <v>0</v>
      </c>
      <c r="F16" s="11">
        <v>10</v>
      </c>
      <c r="H16" s="11">
        <v>100</v>
      </c>
      <c r="J16" s="11">
        <v>2.46E-2</v>
      </c>
      <c r="K16" s="11">
        <v>2.24E-2</v>
      </c>
      <c r="M16" s="6">
        <f t="shared" si="1"/>
        <v>0.10922400000000002</v>
      </c>
      <c r="N16" s="6">
        <f t="shared" si="1"/>
        <v>9.9456000000000003E-2</v>
      </c>
      <c r="P16" s="11">
        <f t="shared" si="2"/>
        <v>1.8534532496181913E-3</v>
      </c>
      <c r="Q16" s="11">
        <f t="shared" si="3"/>
        <v>1.694598739137843E-3</v>
      </c>
      <c r="S16" s="12">
        <f t="shared" si="4"/>
        <v>1.0937416668686819</v>
      </c>
      <c r="T16" s="12"/>
      <c r="U16" s="12">
        <f t="shared" si="5"/>
        <v>52.238615879696333</v>
      </c>
      <c r="V16" s="13"/>
      <c r="W16" s="43">
        <f t="shared" si="6"/>
        <v>0.20868000000000003</v>
      </c>
      <c r="X16"/>
      <c r="Y16" s="42">
        <f t="shared" si="0"/>
        <v>3.5480519887560344E-9</v>
      </c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 s="9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  <c r="IW16" s="10"/>
      <c r="IX16" s="10"/>
      <c r="IY16" s="10"/>
      <c r="IZ16" s="10"/>
      <c r="JA16" s="10"/>
      <c r="JB16" s="10"/>
      <c r="JC16" s="10"/>
      <c r="JD16" s="10"/>
      <c r="JE16" s="10"/>
      <c r="JF16" s="10"/>
      <c r="JG16" s="10"/>
      <c r="JH16" s="10"/>
      <c r="JI16" s="10"/>
      <c r="JJ16" s="10"/>
      <c r="JK16" s="10"/>
      <c r="JL16" s="10"/>
      <c r="JM16" s="10"/>
      <c r="JN16" s="10"/>
      <c r="JO16" s="10"/>
      <c r="JP16" s="10"/>
      <c r="JQ16" s="10"/>
      <c r="JR16" s="10"/>
      <c r="JS16" s="10"/>
      <c r="JT16" s="10"/>
      <c r="JU16" s="10"/>
      <c r="JV16" s="10"/>
      <c r="JW16" s="10"/>
      <c r="JX16" s="10"/>
      <c r="JY16" s="10"/>
      <c r="JZ16" s="10"/>
      <c r="KA16" s="10"/>
      <c r="KB16" s="10"/>
      <c r="KC16" s="10"/>
      <c r="KD16" s="10"/>
      <c r="KE16" s="10"/>
      <c r="KF16" s="10"/>
      <c r="KG16" s="10"/>
      <c r="KH16" s="10"/>
      <c r="KI16" s="10"/>
      <c r="KJ16" s="10"/>
      <c r="KK16" s="10"/>
    </row>
    <row r="17" spans="1:297" s="11" customFormat="1" x14ac:dyDescent="0.2">
      <c r="A17" s="5"/>
      <c r="B17" s="11" t="s">
        <v>23</v>
      </c>
      <c r="C17" s="11">
        <v>-1</v>
      </c>
      <c r="D17" s="11">
        <v>250</v>
      </c>
      <c r="E17" s="11">
        <v>0</v>
      </c>
      <c r="F17" s="11">
        <v>10</v>
      </c>
      <c r="H17" s="11">
        <v>100</v>
      </c>
      <c r="J17" s="11">
        <v>1.1733</v>
      </c>
      <c r="K17" s="11">
        <v>0.47620000000000001</v>
      </c>
      <c r="M17" s="6">
        <f t="shared" si="1"/>
        <v>5.2094520000000006</v>
      </c>
      <c r="N17" s="6">
        <f t="shared" si="1"/>
        <v>2.1143280000000004</v>
      </c>
      <c r="P17" s="11">
        <f t="shared" si="2"/>
        <v>8.8400678771423741E-2</v>
      </c>
      <c r="Q17" s="11">
        <f t="shared" si="3"/>
        <v>3.6025353552564331E-2</v>
      </c>
      <c r="S17" s="12">
        <f t="shared" si="4"/>
        <v>2.4538462514306474</v>
      </c>
      <c r="T17" s="12"/>
      <c r="U17" s="12">
        <f t="shared" si="5"/>
        <v>71.046771419376839</v>
      </c>
      <c r="V17" s="13"/>
      <c r="W17" s="12">
        <f t="shared" si="6"/>
        <v>7.3237800000000011</v>
      </c>
      <c r="X17"/>
      <c r="Y17">
        <f t="shared" si="0"/>
        <v>1.2442603232398808E-7</v>
      </c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 s="9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  <c r="KB17" s="10"/>
      <c r="KC17" s="10"/>
      <c r="KD17" s="10"/>
      <c r="KE17" s="10"/>
      <c r="KF17" s="10"/>
      <c r="KG17" s="10"/>
      <c r="KH17" s="10"/>
      <c r="KI17" s="10"/>
      <c r="KJ17" s="10"/>
      <c r="KK17" s="10"/>
    </row>
    <row r="18" spans="1:297" s="11" customFormat="1" x14ac:dyDescent="0.2">
      <c r="A18" s="5"/>
      <c r="B18" s="11" t="s">
        <v>24</v>
      </c>
      <c r="C18" s="11">
        <v>-1</v>
      </c>
      <c r="D18" s="11">
        <v>500</v>
      </c>
      <c r="E18" s="11">
        <v>0</v>
      </c>
      <c r="F18" s="11">
        <v>10</v>
      </c>
      <c r="H18" s="11">
        <v>100</v>
      </c>
      <c r="J18" s="11">
        <v>1.4387000000000001</v>
      </c>
      <c r="K18" s="11">
        <v>0.39439999999999997</v>
      </c>
      <c r="M18" s="6">
        <f t="shared" si="1"/>
        <v>6.3878280000000007</v>
      </c>
      <c r="N18" s="6">
        <f t="shared" si="1"/>
        <v>1.751136</v>
      </c>
      <c r="P18" s="11">
        <f t="shared" si="2"/>
        <v>0.10839687765145088</v>
      </c>
      <c r="Q18" s="11">
        <f t="shared" si="3"/>
        <v>2.9837042085534164E-2</v>
      </c>
      <c r="S18" s="12">
        <f t="shared" si="4"/>
        <v>3.6329632589151566</v>
      </c>
      <c r="T18" s="12"/>
      <c r="U18" s="12">
        <f t="shared" si="5"/>
        <v>78.415542189424627</v>
      </c>
      <c r="V18" s="13"/>
      <c r="W18" s="12">
        <f t="shared" si="6"/>
        <v>8.1389640000000014</v>
      </c>
      <c r="X18"/>
      <c r="Y18">
        <f t="shared" si="0"/>
        <v>1.3823391973698504E-7</v>
      </c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 s="9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/>
      <c r="JO18" s="10"/>
      <c r="JP18" s="10"/>
      <c r="JQ18" s="10"/>
      <c r="JR18" s="10"/>
      <c r="JS18" s="10"/>
      <c r="JT18" s="10"/>
      <c r="JU18" s="10"/>
      <c r="JV18" s="10"/>
      <c r="JW18" s="10"/>
      <c r="JX18" s="10"/>
      <c r="JY18" s="10"/>
      <c r="JZ18" s="10"/>
      <c r="KA18" s="10"/>
      <c r="KB18" s="10"/>
      <c r="KC18" s="10"/>
      <c r="KD18" s="10"/>
      <c r="KE18" s="10"/>
      <c r="KF18" s="10"/>
      <c r="KG18" s="10"/>
      <c r="KH18" s="10"/>
      <c r="KI18" s="10"/>
      <c r="KJ18" s="10"/>
      <c r="KK18" s="10"/>
    </row>
    <row r="19" spans="1:297" s="11" customFormat="1" x14ac:dyDescent="0.2">
      <c r="A19" s="5"/>
      <c r="B19" s="11" t="s">
        <v>25</v>
      </c>
      <c r="C19" s="11">
        <v>-1</v>
      </c>
      <c r="D19" s="11">
        <v>1000</v>
      </c>
      <c r="E19" s="11">
        <v>0</v>
      </c>
      <c r="F19" s="11">
        <v>10</v>
      </c>
      <c r="H19" s="11">
        <v>100</v>
      </c>
      <c r="J19" s="11">
        <v>1.7788999999999999</v>
      </c>
      <c r="K19" s="11">
        <v>0.49409999999999998</v>
      </c>
      <c r="M19" s="6">
        <f t="shared" si="1"/>
        <v>7.8983160000000003</v>
      </c>
      <c r="N19" s="6">
        <f t="shared" si="1"/>
        <v>2.1938040000000001</v>
      </c>
      <c r="P19" s="11">
        <f t="shared" si="2"/>
        <v>0.13402877990836587</v>
      </c>
      <c r="Q19" s="11">
        <f t="shared" si="3"/>
        <v>3.7379519509286085E-2</v>
      </c>
      <c r="S19" s="12">
        <f t="shared" si="4"/>
        <v>3.5856207267476909</v>
      </c>
      <c r="T19" s="12"/>
      <c r="U19" s="12">
        <f t="shared" si="5"/>
        <v>78.192701499121995</v>
      </c>
      <c r="V19" s="13"/>
      <c r="W19" s="12">
        <f t="shared" si="6"/>
        <v>10.092120000000001</v>
      </c>
      <c r="X19"/>
      <c r="Y19">
        <f t="shared" si="0"/>
        <v>1.7140829941765196E-7</v>
      </c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 s="9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  <c r="IX19" s="10"/>
      <c r="IY19" s="10"/>
      <c r="IZ19" s="10"/>
      <c r="JA19" s="10"/>
      <c r="JB19" s="10"/>
      <c r="JC19" s="10"/>
      <c r="JD19" s="10"/>
      <c r="JE19" s="10"/>
      <c r="JF19" s="10"/>
      <c r="JG19" s="10"/>
      <c r="JH19" s="10"/>
      <c r="JI19" s="10"/>
      <c r="JJ19" s="10"/>
      <c r="JK19" s="10"/>
      <c r="JL19" s="10"/>
      <c r="JM19" s="10"/>
      <c r="JN19" s="10"/>
      <c r="JO19" s="10"/>
      <c r="JP19" s="10"/>
      <c r="JQ19" s="10"/>
      <c r="JR19" s="10"/>
      <c r="JS19" s="10"/>
      <c r="JT19" s="10"/>
      <c r="JU19" s="10"/>
      <c r="JV19" s="10"/>
      <c r="JW19" s="10"/>
      <c r="JX19" s="10"/>
      <c r="JY19" s="10"/>
      <c r="JZ19" s="10"/>
      <c r="KA19" s="10"/>
      <c r="KB19" s="10"/>
      <c r="KC19" s="10"/>
      <c r="KD19" s="10"/>
      <c r="KE19" s="10"/>
      <c r="KF19" s="10"/>
      <c r="KG19" s="10"/>
      <c r="KH19" s="10"/>
      <c r="KI19" s="10"/>
      <c r="KJ19" s="10"/>
      <c r="KK19" s="10"/>
    </row>
    <row r="20" spans="1:297" s="14" customFormat="1" x14ac:dyDescent="0.2">
      <c r="A20" s="5"/>
      <c r="B20" s="14" t="s">
        <v>26</v>
      </c>
      <c r="C20" s="14">
        <v>-1.1000000000000001</v>
      </c>
      <c r="D20" s="14">
        <v>5</v>
      </c>
      <c r="E20" s="14">
        <v>0</v>
      </c>
      <c r="F20" s="14">
        <v>10</v>
      </c>
      <c r="H20" s="14">
        <v>100</v>
      </c>
      <c r="J20" s="14">
        <v>2.12E-2</v>
      </c>
      <c r="K20" s="14">
        <v>1.95E-2</v>
      </c>
      <c r="M20" s="6">
        <f t="shared" si="1"/>
        <v>9.4128000000000003E-2</v>
      </c>
      <c r="N20" s="6">
        <f t="shared" si="1"/>
        <v>8.6580000000000004E-2</v>
      </c>
      <c r="P20" s="14">
        <f t="shared" si="2"/>
        <v>1.5972849143051078E-3</v>
      </c>
      <c r="Q20" s="14">
        <f t="shared" si="3"/>
        <v>1.4752087238030329E-3</v>
      </c>
      <c r="S20" s="15">
        <f t="shared" si="4"/>
        <v>1.0827518089693553</v>
      </c>
      <c r="T20" s="15"/>
      <c r="U20" s="15">
        <f t="shared" si="5"/>
        <v>51.986597937713576</v>
      </c>
      <c r="V20" s="16"/>
      <c r="W20" s="43">
        <f t="shared" si="6"/>
        <v>0.18070800000000001</v>
      </c>
      <c r="X20"/>
      <c r="Y20" s="42">
        <f t="shared" si="0"/>
        <v>3.0724936381081408E-9</v>
      </c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 s="9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  <c r="IX20" s="10"/>
      <c r="IY20" s="10"/>
      <c r="IZ20" s="10"/>
      <c r="JA20" s="10"/>
      <c r="JB20" s="10"/>
      <c r="JC20" s="10"/>
      <c r="JD20" s="10"/>
      <c r="JE20" s="10"/>
      <c r="JF20" s="10"/>
      <c r="JG20" s="10"/>
      <c r="JH20" s="10"/>
      <c r="JI20" s="10"/>
      <c r="JJ20" s="10"/>
      <c r="JK20" s="10"/>
      <c r="JL20" s="10"/>
      <c r="JM20" s="10"/>
      <c r="JN20" s="10"/>
      <c r="JO20" s="10"/>
      <c r="JP20" s="10"/>
      <c r="JQ20" s="10"/>
      <c r="JR20" s="10"/>
      <c r="JS20" s="10"/>
      <c r="JT20" s="10"/>
      <c r="JU20" s="10"/>
      <c r="JV20" s="10"/>
      <c r="JW20" s="10"/>
      <c r="JX20" s="10"/>
      <c r="JY20" s="10"/>
      <c r="JZ20" s="10"/>
      <c r="KA20" s="10"/>
      <c r="KB20" s="10"/>
      <c r="KC20" s="10"/>
      <c r="KD20" s="10"/>
      <c r="KE20" s="10"/>
      <c r="KF20" s="10"/>
      <c r="KG20" s="10"/>
      <c r="KH20" s="10"/>
      <c r="KI20" s="10"/>
      <c r="KJ20" s="10"/>
      <c r="KK20" s="10"/>
    </row>
    <row r="21" spans="1:297" s="14" customFormat="1" x14ac:dyDescent="0.2">
      <c r="A21" s="5"/>
      <c r="B21" s="14" t="s">
        <v>27</v>
      </c>
      <c r="C21" s="14">
        <v>-1.1000000000000001</v>
      </c>
      <c r="D21" s="14">
        <v>10</v>
      </c>
      <c r="E21" s="14">
        <v>0</v>
      </c>
      <c r="F21" s="14">
        <v>10</v>
      </c>
      <c r="H21" s="14">
        <v>100</v>
      </c>
      <c r="J21" s="14">
        <v>2.07E-2</v>
      </c>
      <c r="K21" s="14">
        <v>1.8700000000000001E-2</v>
      </c>
      <c r="M21" s="6">
        <f t="shared" si="1"/>
        <v>9.1908000000000004E-2</v>
      </c>
      <c r="N21" s="6">
        <f t="shared" si="1"/>
        <v>8.3028000000000018E-2</v>
      </c>
      <c r="P21" s="14">
        <f t="shared" si="2"/>
        <v>1.5596131002884779E-3</v>
      </c>
      <c r="Q21" s="14">
        <f t="shared" si="3"/>
        <v>1.4146873402623959E-3</v>
      </c>
      <c r="S21" s="15">
        <f t="shared" si="4"/>
        <v>1.1024436678702456</v>
      </c>
      <c r="T21" s="15"/>
      <c r="U21" s="15">
        <f t="shared" si="5"/>
        <v>52.436299945530052</v>
      </c>
      <c r="V21" s="16"/>
      <c r="W21" s="43">
        <f t="shared" si="6"/>
        <v>0.17493600000000004</v>
      </c>
      <c r="X21"/>
      <c r="Y21" s="42">
        <f t="shared" si="0"/>
        <v>2.9743004405508736E-9</v>
      </c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 s="9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10"/>
      <c r="IX21" s="10"/>
      <c r="IY21" s="10"/>
      <c r="IZ21" s="10"/>
      <c r="JA21" s="10"/>
      <c r="JB21" s="10"/>
      <c r="JC21" s="10"/>
      <c r="JD21" s="10"/>
      <c r="JE21" s="10"/>
      <c r="JF21" s="10"/>
      <c r="JG21" s="10"/>
      <c r="JH21" s="10"/>
      <c r="JI21" s="10"/>
      <c r="JJ21" s="10"/>
      <c r="JK21" s="10"/>
      <c r="JL21" s="10"/>
      <c r="JM21" s="10"/>
      <c r="JN21" s="10"/>
      <c r="JO21" s="10"/>
      <c r="JP21" s="10"/>
      <c r="JQ21" s="10"/>
      <c r="JR21" s="10"/>
      <c r="JS21" s="10"/>
      <c r="JT21" s="10"/>
      <c r="JU21" s="10"/>
      <c r="JV21" s="10"/>
      <c r="JW21" s="10"/>
      <c r="JX21" s="10"/>
      <c r="JY21" s="10"/>
      <c r="JZ21" s="10"/>
      <c r="KA21" s="10"/>
      <c r="KB21" s="10"/>
      <c r="KC21" s="10"/>
      <c r="KD21" s="10"/>
      <c r="KE21" s="10"/>
      <c r="KF21" s="10"/>
      <c r="KG21" s="10"/>
      <c r="KH21" s="10"/>
      <c r="KI21" s="10"/>
      <c r="KJ21" s="10"/>
      <c r="KK21" s="10"/>
    </row>
    <row r="22" spans="1:297" s="14" customFormat="1" x14ac:dyDescent="0.2">
      <c r="A22" s="5"/>
      <c r="B22" s="14" t="s">
        <v>28</v>
      </c>
      <c r="C22" s="14">
        <v>-1.1000000000000001</v>
      </c>
      <c r="D22" s="14">
        <v>25</v>
      </c>
      <c r="E22" s="14">
        <v>0</v>
      </c>
      <c r="F22" s="14">
        <v>10</v>
      </c>
      <c r="H22" s="14">
        <v>100</v>
      </c>
      <c r="J22" s="14">
        <v>2.58E-2</v>
      </c>
      <c r="K22" s="14">
        <v>1.9699999999999999E-2</v>
      </c>
      <c r="M22" s="6">
        <f t="shared" si="1"/>
        <v>0.11455200000000001</v>
      </c>
      <c r="N22" s="6">
        <f t="shared" si="1"/>
        <v>8.7468000000000004E-2</v>
      </c>
      <c r="P22" s="14">
        <f t="shared" si="2"/>
        <v>1.9438656032581031E-3</v>
      </c>
      <c r="Q22" s="14">
        <f t="shared" si="3"/>
        <v>1.4903390696881923E-3</v>
      </c>
      <c r="S22" s="15">
        <f t="shared" si="4"/>
        <v>1.3043109737871914</v>
      </c>
      <c r="T22" s="15"/>
      <c r="U22" s="15">
        <f t="shared" si="5"/>
        <v>56.603079559332407</v>
      </c>
      <c r="V22" s="16"/>
      <c r="W22" s="43">
        <f t="shared" si="6"/>
        <v>0.20202000000000003</v>
      </c>
      <c r="X22"/>
      <c r="Y22" s="42">
        <f t="shared" si="0"/>
        <v>3.4342046729462957E-9</v>
      </c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 s="9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  <c r="IW22" s="10"/>
      <c r="IX22" s="10"/>
      <c r="IY22" s="10"/>
      <c r="IZ22" s="10"/>
      <c r="JA22" s="10"/>
      <c r="JB22" s="10"/>
      <c r="JC22" s="10"/>
      <c r="JD22" s="10"/>
      <c r="JE22" s="10"/>
      <c r="JF22" s="10"/>
      <c r="JG22" s="10"/>
      <c r="JH22" s="10"/>
      <c r="JI22" s="10"/>
      <c r="JJ22" s="10"/>
      <c r="JK22" s="10"/>
      <c r="JL22" s="10"/>
      <c r="JM22" s="10"/>
      <c r="JN22" s="10"/>
      <c r="JO22" s="10"/>
      <c r="JP22" s="10"/>
      <c r="JQ22" s="10"/>
      <c r="JR22" s="10"/>
      <c r="JS22" s="10"/>
      <c r="JT22" s="10"/>
      <c r="JU22" s="10"/>
      <c r="JV22" s="10"/>
      <c r="JW22" s="10"/>
      <c r="JX22" s="10"/>
      <c r="JY22" s="10"/>
      <c r="JZ22" s="10"/>
      <c r="KA22" s="10"/>
      <c r="KB22" s="10"/>
      <c r="KC22" s="10"/>
      <c r="KD22" s="10"/>
      <c r="KE22" s="10"/>
      <c r="KF22" s="10"/>
      <c r="KG22" s="10"/>
      <c r="KH22" s="10"/>
      <c r="KI22" s="10"/>
      <c r="KJ22" s="10"/>
      <c r="KK22" s="10"/>
    </row>
    <row r="23" spans="1:297" s="14" customFormat="1" x14ac:dyDescent="0.2">
      <c r="A23" s="5"/>
      <c r="B23" s="14" t="s">
        <v>29</v>
      </c>
      <c r="C23" s="14">
        <v>-1.1000000000000001</v>
      </c>
      <c r="D23" s="14">
        <v>50</v>
      </c>
      <c r="E23" s="14">
        <v>0</v>
      </c>
      <c r="F23" s="14">
        <v>10</v>
      </c>
      <c r="H23" s="14">
        <v>100</v>
      </c>
      <c r="J23" s="14">
        <v>2.3119999999999998</v>
      </c>
      <c r="K23" s="14">
        <v>0.63260000000000005</v>
      </c>
      <c r="M23" s="6">
        <f t="shared" si="1"/>
        <v>10.265280000000001</v>
      </c>
      <c r="N23" s="6">
        <f t="shared" si="1"/>
        <v>2.8087440000000004</v>
      </c>
      <c r="P23" s="14">
        <f t="shared" si="2"/>
        <v>0.17419446801289667</v>
      </c>
      <c r="Q23" s="14">
        <f t="shared" si="3"/>
        <v>4.7857284034758911E-2</v>
      </c>
      <c r="S23" s="15">
        <f t="shared" si="4"/>
        <v>3.6398736686849724</v>
      </c>
      <c r="T23" s="15"/>
      <c r="U23" s="15">
        <f t="shared" si="5"/>
        <v>78.447689066426264</v>
      </c>
      <c r="V23" s="16"/>
      <c r="W23" s="15">
        <f t="shared" si="6"/>
        <v>13.074024000000001</v>
      </c>
      <c r="X23"/>
      <c r="Y23">
        <f t="shared" si="0"/>
        <v>2.2205175204765559E-7</v>
      </c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 s="9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  <c r="IW23" s="10"/>
      <c r="IX23" s="10"/>
      <c r="IY23" s="10"/>
      <c r="IZ23" s="10"/>
      <c r="JA23" s="10"/>
      <c r="JB23" s="10"/>
      <c r="JC23" s="10"/>
      <c r="JD23" s="10"/>
      <c r="JE23" s="10"/>
      <c r="JF23" s="10"/>
      <c r="JG23" s="10"/>
      <c r="JH23" s="10"/>
      <c r="JI23" s="10"/>
      <c r="JJ23" s="10"/>
      <c r="JK23" s="10"/>
      <c r="JL23" s="10"/>
      <c r="JM23" s="10"/>
      <c r="JN23" s="10"/>
      <c r="JO23" s="10"/>
      <c r="JP23" s="10"/>
      <c r="JQ23" s="10"/>
      <c r="JR23" s="10"/>
      <c r="JS23" s="10"/>
      <c r="JT23" s="10"/>
      <c r="JU23" s="10"/>
      <c r="JV23" s="10"/>
      <c r="JW23" s="10"/>
      <c r="JX23" s="10"/>
      <c r="JY23" s="10"/>
      <c r="JZ23" s="10"/>
      <c r="KA23" s="10"/>
      <c r="KB23" s="10"/>
      <c r="KC23" s="10"/>
      <c r="KD23" s="10"/>
      <c r="KE23" s="10"/>
      <c r="KF23" s="10"/>
      <c r="KG23" s="10"/>
      <c r="KH23" s="10"/>
      <c r="KI23" s="10"/>
      <c r="KJ23" s="10"/>
      <c r="KK23" s="10"/>
    </row>
    <row r="24" spans="1:297" s="14" customFormat="1" x14ac:dyDescent="0.2">
      <c r="A24" s="5"/>
      <c r="B24" s="14" t="s">
        <v>30</v>
      </c>
      <c r="C24" s="14">
        <v>-1.1000000000000001</v>
      </c>
      <c r="D24" s="14">
        <v>100</v>
      </c>
      <c r="E24" s="14">
        <v>0</v>
      </c>
      <c r="F24" s="14">
        <v>10</v>
      </c>
      <c r="H24" s="14">
        <v>100</v>
      </c>
      <c r="J24" s="14">
        <v>3.9786999999999999</v>
      </c>
      <c r="K24" s="14">
        <v>1.2839</v>
      </c>
      <c r="M24" s="6">
        <f t="shared" si="1"/>
        <v>17.665428000000002</v>
      </c>
      <c r="N24" s="6">
        <f t="shared" si="1"/>
        <v>5.7005160000000004</v>
      </c>
      <c r="P24" s="14">
        <f t="shared" si="2"/>
        <v>0.2997696928559308</v>
      </c>
      <c r="Q24" s="14">
        <f t="shared" si="3"/>
        <v>9.7129255409780207E-2</v>
      </c>
      <c r="S24" s="15">
        <f t="shared" si="4"/>
        <v>3.0862966218697707</v>
      </c>
      <c r="T24" s="15"/>
      <c r="U24" s="15">
        <f t="shared" si="5"/>
        <v>75.527963519632365</v>
      </c>
      <c r="V24" s="16"/>
      <c r="W24" s="15">
        <f t="shared" si="6"/>
        <v>23.365944000000002</v>
      </c>
      <c r="X24"/>
      <c r="Y24">
        <f t="shared" si="0"/>
        <v>3.9689894826571102E-7</v>
      </c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 s="9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  <c r="IM24" s="10"/>
      <c r="IN24" s="10"/>
      <c r="IO24" s="10"/>
      <c r="IP24" s="10"/>
      <c r="IQ24" s="10"/>
      <c r="IR24" s="10"/>
      <c r="IS24" s="10"/>
      <c r="IT24" s="10"/>
      <c r="IU24" s="10"/>
      <c r="IV24" s="10"/>
      <c r="IW24" s="10"/>
      <c r="IX24" s="10"/>
      <c r="IY24" s="10"/>
      <c r="IZ24" s="10"/>
      <c r="JA24" s="10"/>
      <c r="JB24" s="10"/>
      <c r="JC24" s="10"/>
      <c r="JD24" s="10"/>
      <c r="JE24" s="10"/>
      <c r="JF24" s="10"/>
      <c r="JG24" s="10"/>
      <c r="JH24" s="10"/>
      <c r="JI24" s="10"/>
      <c r="JJ24" s="10"/>
      <c r="JK24" s="10"/>
      <c r="JL24" s="10"/>
      <c r="JM24" s="10"/>
      <c r="JN24" s="10"/>
      <c r="JO24" s="10"/>
      <c r="JP24" s="10"/>
      <c r="JQ24" s="10"/>
      <c r="JR24" s="10"/>
      <c r="JS24" s="10"/>
      <c r="JT24" s="10"/>
      <c r="JU24" s="10"/>
      <c r="JV24" s="10"/>
      <c r="JW24" s="10"/>
      <c r="JX24" s="10"/>
      <c r="JY24" s="10"/>
      <c r="JZ24" s="10"/>
      <c r="KA24" s="10"/>
      <c r="KB24" s="10"/>
      <c r="KC24" s="10"/>
      <c r="KD24" s="10"/>
      <c r="KE24" s="10"/>
      <c r="KF24" s="10"/>
      <c r="KG24" s="10"/>
      <c r="KH24" s="10"/>
      <c r="KI24" s="10"/>
      <c r="KJ24" s="10"/>
      <c r="KK24" s="10"/>
    </row>
    <row r="25" spans="1:297" s="14" customFormat="1" x14ac:dyDescent="0.2">
      <c r="A25" s="5"/>
      <c r="B25" s="14" t="s">
        <v>31</v>
      </c>
      <c r="C25" s="14">
        <v>-1.1000000000000001</v>
      </c>
      <c r="D25" s="14">
        <v>250</v>
      </c>
      <c r="E25" s="14">
        <v>0</v>
      </c>
      <c r="F25" s="14">
        <v>10</v>
      </c>
      <c r="H25" s="14">
        <v>100</v>
      </c>
      <c r="J25" s="14">
        <v>3.661</v>
      </c>
      <c r="K25" s="14">
        <v>1.7679</v>
      </c>
      <c r="M25" s="6">
        <f t="shared" si="1"/>
        <v>16.254840000000002</v>
      </c>
      <c r="N25" s="6">
        <f t="shared" si="1"/>
        <v>7.849476000000001</v>
      </c>
      <c r="P25" s="14">
        <f t="shared" si="2"/>
        <v>0.27583302222976414</v>
      </c>
      <c r="Q25" s="14">
        <f t="shared" si="3"/>
        <v>0.13374469245186577</v>
      </c>
      <c r="S25" s="15">
        <f t="shared" si="4"/>
        <v>2.062384810739577</v>
      </c>
      <c r="T25" s="15"/>
      <c r="U25" s="15">
        <f t="shared" si="5"/>
        <v>67.345710555607923</v>
      </c>
      <c r="V25" s="16"/>
      <c r="W25" s="15">
        <f t="shared" si="6"/>
        <v>24.104316000000004</v>
      </c>
      <c r="X25"/>
      <c r="Y25">
        <f t="shared" si="0"/>
        <v>4.0957771468162992E-7</v>
      </c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 s="9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  <c r="IM25" s="10"/>
      <c r="IN25" s="10"/>
      <c r="IO25" s="10"/>
      <c r="IP25" s="10"/>
      <c r="IQ25" s="10"/>
      <c r="IR25" s="10"/>
      <c r="IS25" s="10"/>
      <c r="IT25" s="10"/>
      <c r="IU25" s="10"/>
      <c r="IV25" s="10"/>
      <c r="IW25" s="10"/>
      <c r="IX25" s="10"/>
      <c r="IY25" s="10"/>
      <c r="IZ25" s="10"/>
      <c r="JA25" s="10"/>
      <c r="JB25" s="10"/>
      <c r="JC25" s="10"/>
      <c r="JD25" s="10"/>
      <c r="JE25" s="10"/>
      <c r="JF25" s="10"/>
      <c r="JG25" s="10"/>
      <c r="JH25" s="10"/>
      <c r="JI25" s="10"/>
      <c r="JJ25" s="10"/>
      <c r="JK25" s="10"/>
      <c r="JL25" s="10"/>
      <c r="JM25" s="10"/>
      <c r="JN25" s="10"/>
      <c r="JO25" s="10"/>
      <c r="JP25" s="10"/>
      <c r="JQ25" s="10"/>
      <c r="JR25" s="10"/>
      <c r="JS25" s="10"/>
      <c r="JT25" s="10"/>
      <c r="JU25" s="10"/>
      <c r="JV25" s="10"/>
      <c r="JW25" s="10"/>
      <c r="JX25" s="10"/>
      <c r="JY25" s="10"/>
      <c r="JZ25" s="10"/>
      <c r="KA25" s="10"/>
      <c r="KB25" s="10"/>
      <c r="KC25" s="10"/>
      <c r="KD25" s="10"/>
      <c r="KE25" s="10"/>
      <c r="KF25" s="10"/>
      <c r="KG25" s="10"/>
      <c r="KH25" s="10"/>
      <c r="KI25" s="10"/>
      <c r="KJ25" s="10"/>
      <c r="KK25" s="10"/>
    </row>
    <row r="26" spans="1:297" s="14" customFormat="1" x14ac:dyDescent="0.2">
      <c r="A26" s="5"/>
      <c r="B26" s="14" t="s">
        <v>32</v>
      </c>
      <c r="C26" s="14">
        <v>-1.1000000000000001</v>
      </c>
      <c r="D26" s="14">
        <v>500</v>
      </c>
      <c r="E26" s="14">
        <v>0</v>
      </c>
      <c r="F26" s="14">
        <v>10</v>
      </c>
      <c r="H26" s="14">
        <v>100</v>
      </c>
      <c r="J26" s="14">
        <v>2.9546000000000001</v>
      </c>
      <c r="K26" s="14">
        <v>2.1760999999999999</v>
      </c>
      <c r="M26" s="6">
        <f t="shared" si="1"/>
        <v>13.118424000000001</v>
      </c>
      <c r="N26" s="6">
        <f t="shared" si="1"/>
        <v>9.6618840000000006</v>
      </c>
      <c r="P26" s="14">
        <f t="shared" si="2"/>
        <v>0.22261028338706942</v>
      </c>
      <c r="Q26" s="14">
        <f t="shared" si="3"/>
        <v>0.16462572840347592</v>
      </c>
      <c r="S26" s="15">
        <f t="shared" si="4"/>
        <v>1.3522204915715301</v>
      </c>
      <c r="T26" s="15"/>
      <c r="U26" s="15">
        <f t="shared" si="5"/>
        <v>57.486978640684534</v>
      </c>
      <c r="V26" s="16"/>
      <c r="W26" s="15">
        <f t="shared" si="6"/>
        <v>22.780308000000002</v>
      </c>
      <c r="X26"/>
      <c r="Y26">
        <f t="shared" si="0"/>
        <v>3.8723601179054533E-7</v>
      </c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 s="9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  <c r="IM26" s="10"/>
      <c r="IN26" s="10"/>
      <c r="IO26" s="10"/>
      <c r="IP26" s="10"/>
      <c r="IQ26" s="10"/>
      <c r="IR26" s="10"/>
      <c r="IS26" s="10"/>
      <c r="IT26" s="10"/>
      <c r="IU26" s="10"/>
      <c r="IV26" s="10"/>
      <c r="IW26" s="10"/>
      <c r="IX26" s="10"/>
      <c r="IY26" s="10"/>
      <c r="IZ26" s="10"/>
      <c r="JA26" s="10"/>
      <c r="JB26" s="10"/>
      <c r="JC26" s="10"/>
      <c r="JD26" s="10"/>
      <c r="JE26" s="10"/>
      <c r="JF26" s="10"/>
      <c r="JG26" s="10"/>
      <c r="JH26" s="10"/>
      <c r="JI26" s="10"/>
      <c r="JJ26" s="10"/>
      <c r="JK26" s="10"/>
      <c r="JL26" s="10"/>
      <c r="JM26" s="10"/>
      <c r="JN26" s="10"/>
      <c r="JO26" s="10"/>
      <c r="JP26" s="10"/>
      <c r="JQ26" s="10"/>
      <c r="JR26" s="10"/>
      <c r="JS26" s="10"/>
      <c r="JT26" s="10"/>
      <c r="JU26" s="10"/>
      <c r="JV26" s="10"/>
      <c r="JW26" s="10"/>
      <c r="JX26" s="10"/>
      <c r="JY26" s="10"/>
      <c r="JZ26" s="10"/>
      <c r="KA26" s="10"/>
      <c r="KB26" s="10"/>
      <c r="KC26" s="10"/>
      <c r="KD26" s="10"/>
      <c r="KE26" s="10"/>
      <c r="KF26" s="10"/>
      <c r="KG26" s="10"/>
      <c r="KH26" s="10"/>
      <c r="KI26" s="10"/>
      <c r="KJ26" s="10"/>
      <c r="KK26" s="10"/>
    </row>
    <row r="27" spans="1:297" s="14" customFormat="1" x14ac:dyDescent="0.2">
      <c r="A27" s="5"/>
      <c r="B27" s="14" t="s">
        <v>33</v>
      </c>
      <c r="C27" s="14">
        <v>-1.1000000000000001</v>
      </c>
      <c r="D27" s="14">
        <v>1000</v>
      </c>
      <c r="E27" s="14">
        <v>0</v>
      </c>
      <c r="F27" s="14">
        <v>10</v>
      </c>
      <c r="H27" s="14">
        <v>100</v>
      </c>
      <c r="J27" s="14">
        <v>3.5823</v>
      </c>
      <c r="K27" s="14">
        <v>2.3736000000000002</v>
      </c>
      <c r="M27" s="6">
        <f t="shared" si="1"/>
        <v>15.905412000000002</v>
      </c>
      <c r="N27" s="6">
        <f t="shared" si="1"/>
        <v>10.538784000000001</v>
      </c>
      <c r="P27" s="14">
        <f t="shared" si="2"/>
        <v>0.26990347870354664</v>
      </c>
      <c r="Q27" s="14">
        <f t="shared" si="3"/>
        <v>0.17956694496507075</v>
      </c>
      <c r="S27" s="15">
        <f t="shared" si="4"/>
        <v>1.503079972519709</v>
      </c>
      <c r="T27" s="15"/>
      <c r="U27" s="15">
        <f t="shared" si="5"/>
        <v>60.049218923143052</v>
      </c>
      <c r="V27" s="16"/>
      <c r="W27" s="15">
        <f t="shared" si="6"/>
        <v>26.444196000000005</v>
      </c>
      <c r="X27"/>
      <c r="Y27">
        <f t="shared" si="0"/>
        <v>4.4947042366861738E-7</v>
      </c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 s="9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  <c r="IQ27" s="10"/>
      <c r="IR27" s="10"/>
      <c r="IS27" s="10"/>
      <c r="IT27" s="10"/>
      <c r="IU27" s="10"/>
      <c r="IV27" s="10"/>
      <c r="IW27" s="10"/>
      <c r="IX27" s="10"/>
      <c r="IY27" s="10"/>
      <c r="IZ27" s="10"/>
      <c r="JA27" s="10"/>
      <c r="JB27" s="10"/>
      <c r="JC27" s="10"/>
      <c r="JD27" s="10"/>
      <c r="JE27" s="10"/>
      <c r="JF27" s="10"/>
      <c r="JG27" s="10"/>
      <c r="JH27" s="10"/>
      <c r="JI27" s="10"/>
      <c r="JJ27" s="10"/>
      <c r="JK27" s="10"/>
      <c r="JL27" s="10"/>
      <c r="JM27" s="10"/>
      <c r="JN27" s="10"/>
      <c r="JO27" s="10"/>
      <c r="JP27" s="10"/>
      <c r="JQ27" s="10"/>
      <c r="JR27" s="10"/>
      <c r="JS27" s="10"/>
      <c r="JT27" s="10"/>
      <c r="JU27" s="10"/>
      <c r="JV27" s="10"/>
      <c r="JW27" s="10"/>
      <c r="JX27" s="10"/>
      <c r="JY27" s="10"/>
      <c r="JZ27" s="10"/>
      <c r="KA27" s="10"/>
      <c r="KB27" s="10"/>
      <c r="KC27" s="10"/>
      <c r="KD27" s="10"/>
      <c r="KE27" s="10"/>
      <c r="KF27" s="10"/>
      <c r="KG27" s="10"/>
      <c r="KH27" s="10"/>
      <c r="KI27" s="10"/>
      <c r="KJ27" s="10"/>
      <c r="KK27" s="10"/>
    </row>
    <row r="28" spans="1:297" s="17" customFormat="1" x14ac:dyDescent="0.2">
      <c r="A28" s="5"/>
      <c r="B28" s="17" t="s">
        <v>34</v>
      </c>
      <c r="C28" s="17">
        <v>-1.2</v>
      </c>
      <c r="D28" s="17">
        <v>5</v>
      </c>
      <c r="E28" s="17">
        <v>0</v>
      </c>
      <c r="F28" s="17">
        <v>10</v>
      </c>
      <c r="H28" s="17">
        <v>100</v>
      </c>
      <c r="J28" s="17">
        <v>4.4000000000000003E-3</v>
      </c>
      <c r="K28" s="17">
        <v>5.7000000000000002E-3</v>
      </c>
      <c r="M28" s="6">
        <f t="shared" si="1"/>
        <v>1.9536000000000001E-2</v>
      </c>
      <c r="N28" s="6">
        <f t="shared" si="1"/>
        <v>2.5308000000000004E-2</v>
      </c>
      <c r="P28" s="17">
        <f t="shared" si="2"/>
        <v>3.3151196334634312E-4</v>
      </c>
      <c r="Q28" s="17">
        <f t="shared" si="3"/>
        <v>4.3121485772704046E-4</v>
      </c>
      <c r="S28" s="18">
        <f t="shared" si="4"/>
        <v>0.76878604112521232</v>
      </c>
      <c r="T28" s="18"/>
      <c r="U28" s="18">
        <f t="shared" si="5"/>
        <v>43.464049537396257</v>
      </c>
      <c r="V28" s="19"/>
      <c r="W28" s="43">
        <f t="shared" si="6"/>
        <v>4.4844000000000009E-2</v>
      </c>
      <c r="X28"/>
      <c r="Y28" s="42">
        <f t="shared" si="0"/>
        <v>7.6272682107338359E-10</v>
      </c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 s="9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/>
      <c r="IQ28" s="10"/>
      <c r="IR28" s="10"/>
      <c r="IS28" s="10"/>
      <c r="IT28" s="10"/>
      <c r="IU28" s="10"/>
      <c r="IV28" s="10"/>
      <c r="IW28" s="10"/>
      <c r="IX28" s="10"/>
      <c r="IY28" s="10"/>
      <c r="IZ28" s="10"/>
      <c r="JA28" s="10"/>
      <c r="JB28" s="10"/>
      <c r="JC28" s="10"/>
      <c r="JD28" s="10"/>
      <c r="JE28" s="10"/>
      <c r="JF28" s="10"/>
      <c r="JG28" s="10"/>
      <c r="JH28" s="10"/>
      <c r="JI28" s="10"/>
      <c r="JJ28" s="10"/>
      <c r="JK28" s="10"/>
      <c r="JL28" s="10"/>
      <c r="JM28" s="10"/>
      <c r="JN28" s="10"/>
      <c r="JO28" s="10"/>
      <c r="JP28" s="10"/>
      <c r="JQ28" s="10"/>
      <c r="JR28" s="10"/>
      <c r="JS28" s="10"/>
      <c r="JT28" s="10"/>
      <c r="JU28" s="10"/>
      <c r="JV28" s="10"/>
      <c r="JW28" s="10"/>
      <c r="JX28" s="10"/>
      <c r="JY28" s="10"/>
      <c r="JZ28" s="10"/>
      <c r="KA28" s="10"/>
      <c r="KB28" s="10"/>
      <c r="KC28" s="10"/>
      <c r="KD28" s="10"/>
      <c r="KE28" s="10"/>
      <c r="KF28" s="10"/>
      <c r="KG28" s="10"/>
      <c r="KH28" s="10"/>
      <c r="KI28" s="10"/>
      <c r="KJ28" s="10"/>
      <c r="KK28" s="10"/>
    </row>
    <row r="29" spans="1:297" s="17" customFormat="1" x14ac:dyDescent="0.2">
      <c r="A29" s="5"/>
      <c r="B29" s="17" t="s">
        <v>35</v>
      </c>
      <c r="C29" s="17">
        <v>-1.2</v>
      </c>
      <c r="D29" s="17">
        <v>10</v>
      </c>
      <c r="E29" s="17">
        <v>0</v>
      </c>
      <c r="F29" s="17">
        <v>10</v>
      </c>
      <c r="H29" s="17">
        <v>100</v>
      </c>
      <c r="J29" s="17">
        <v>1.01E-2</v>
      </c>
      <c r="K29" s="17">
        <v>5.3E-3</v>
      </c>
      <c r="M29" s="6">
        <f t="shared" si="1"/>
        <v>4.4844000000000002E-2</v>
      </c>
      <c r="N29" s="6">
        <f t="shared" si="1"/>
        <v>2.3532000000000001E-2</v>
      </c>
      <c r="P29" s="17">
        <f t="shared" si="2"/>
        <v>7.6097064313592399E-4</v>
      </c>
      <c r="Q29" s="17">
        <f t="shared" si="3"/>
        <v>4.009541659567218E-4</v>
      </c>
      <c r="S29" s="18">
        <f t="shared" si="4"/>
        <v>1.8978993305136569</v>
      </c>
      <c r="T29" s="18"/>
      <c r="U29" s="18">
        <f t="shared" si="5"/>
        <v>65.492245038658794</v>
      </c>
      <c r="V29" s="19"/>
      <c r="W29" s="43">
        <f t="shared" si="6"/>
        <v>6.8376000000000006E-2</v>
      </c>
      <c r="X29"/>
      <c r="Y29" s="42">
        <f t="shared" si="0"/>
        <v>1.1619248090926457E-9</v>
      </c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 s="9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  <c r="HX29" s="10"/>
      <c r="HY29" s="10"/>
      <c r="HZ29" s="10"/>
      <c r="IA29" s="10"/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  <c r="IM29" s="10"/>
      <c r="IN29" s="10"/>
      <c r="IO29" s="10"/>
      <c r="IP29" s="10"/>
      <c r="IQ29" s="10"/>
      <c r="IR29" s="10"/>
      <c r="IS29" s="10"/>
      <c r="IT29" s="10"/>
      <c r="IU29" s="10"/>
      <c r="IV29" s="10"/>
      <c r="IW29" s="10"/>
      <c r="IX29" s="10"/>
      <c r="IY29" s="10"/>
      <c r="IZ29" s="10"/>
      <c r="JA29" s="10"/>
      <c r="JB29" s="10"/>
      <c r="JC29" s="10"/>
      <c r="JD29" s="10"/>
      <c r="JE29" s="10"/>
      <c r="JF29" s="10"/>
      <c r="JG29" s="10"/>
      <c r="JH29" s="10"/>
      <c r="JI29" s="10"/>
      <c r="JJ29" s="10"/>
      <c r="JK29" s="10"/>
      <c r="JL29" s="10"/>
      <c r="JM29" s="10"/>
      <c r="JN29" s="10"/>
      <c r="JO29" s="10"/>
      <c r="JP29" s="10"/>
      <c r="JQ29" s="10"/>
      <c r="JR29" s="10"/>
      <c r="JS29" s="10"/>
      <c r="JT29" s="10"/>
      <c r="JU29" s="10"/>
      <c r="JV29" s="10"/>
      <c r="JW29" s="10"/>
      <c r="JX29" s="10"/>
      <c r="JY29" s="10"/>
      <c r="JZ29" s="10"/>
      <c r="KA29" s="10"/>
      <c r="KB29" s="10"/>
      <c r="KC29" s="10"/>
      <c r="KD29" s="10"/>
      <c r="KE29" s="10"/>
      <c r="KF29" s="10"/>
      <c r="KG29" s="10"/>
      <c r="KH29" s="10"/>
      <c r="KI29" s="10"/>
      <c r="KJ29" s="10"/>
      <c r="KK29" s="10"/>
    </row>
    <row r="30" spans="1:297" s="17" customFormat="1" x14ac:dyDescent="0.2">
      <c r="A30" s="5"/>
      <c r="B30" s="17" t="s">
        <v>36</v>
      </c>
      <c r="C30" s="17">
        <v>-1.2</v>
      </c>
      <c r="D30" s="17">
        <v>25</v>
      </c>
      <c r="E30" s="17">
        <v>0</v>
      </c>
      <c r="F30" s="17">
        <v>10</v>
      </c>
      <c r="H30" s="17">
        <v>100</v>
      </c>
      <c r="J30" s="17">
        <v>3.5335000000000001</v>
      </c>
      <c r="K30" s="17">
        <v>1.2049000000000001</v>
      </c>
      <c r="M30" s="6">
        <f t="shared" si="1"/>
        <v>15.688740000000001</v>
      </c>
      <c r="N30" s="6">
        <f t="shared" si="1"/>
        <v>5.3497560000000011</v>
      </c>
      <c r="P30" s="17">
        <f t="shared" si="2"/>
        <v>0.26622670965552353</v>
      </c>
      <c r="Q30" s="17">
        <f t="shared" si="3"/>
        <v>9.1152768785142294E-2</v>
      </c>
      <c r="S30" s="18">
        <f t="shared" si="4"/>
        <v>2.9206650900868509</v>
      </c>
      <c r="T30" s="18"/>
      <c r="U30" s="18">
        <f t="shared" si="5"/>
        <v>74.494123394307877</v>
      </c>
      <c r="V30" s="19"/>
      <c r="W30" s="18">
        <f t="shared" si="6"/>
        <v>21.038496000000002</v>
      </c>
      <c r="X30"/>
      <c r="Y30">
        <f t="shared" si="0"/>
        <v>3.5737947844066582E-7</v>
      </c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 s="9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  <c r="HX30" s="10"/>
      <c r="HY30" s="10"/>
      <c r="HZ30" s="10"/>
      <c r="IA30" s="10"/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  <c r="IM30" s="10"/>
      <c r="IN30" s="10"/>
      <c r="IO30" s="10"/>
      <c r="IP30" s="10"/>
      <c r="IQ30" s="10"/>
      <c r="IR30" s="10"/>
      <c r="IS30" s="10"/>
      <c r="IT30" s="10"/>
      <c r="IU30" s="10"/>
      <c r="IV30" s="10"/>
      <c r="IW30" s="10"/>
      <c r="IX30" s="10"/>
      <c r="IY30" s="10"/>
      <c r="IZ30" s="10"/>
      <c r="JA30" s="10"/>
      <c r="JB30" s="10"/>
      <c r="JC30" s="10"/>
      <c r="JD30" s="10"/>
      <c r="JE30" s="10"/>
      <c r="JF30" s="10"/>
      <c r="JG30" s="10"/>
      <c r="JH30" s="10"/>
      <c r="JI30" s="10"/>
      <c r="JJ30" s="10"/>
      <c r="JK30" s="10"/>
      <c r="JL30" s="10"/>
      <c r="JM30" s="10"/>
      <c r="JN30" s="10"/>
      <c r="JO30" s="10"/>
      <c r="JP30" s="10"/>
      <c r="JQ30" s="10"/>
      <c r="JR30" s="10"/>
      <c r="JS30" s="10"/>
      <c r="JT30" s="10"/>
      <c r="JU30" s="10"/>
      <c r="JV30" s="10"/>
      <c r="JW30" s="10"/>
      <c r="JX30" s="10"/>
      <c r="JY30" s="10"/>
      <c r="JZ30" s="10"/>
      <c r="KA30" s="10"/>
      <c r="KB30" s="10"/>
      <c r="KC30" s="10"/>
      <c r="KD30" s="10"/>
      <c r="KE30" s="10"/>
      <c r="KF30" s="10"/>
      <c r="KG30" s="10"/>
      <c r="KH30" s="10"/>
      <c r="KI30" s="10"/>
      <c r="KJ30" s="10"/>
      <c r="KK30" s="10"/>
    </row>
    <row r="31" spans="1:297" s="17" customFormat="1" x14ac:dyDescent="0.2">
      <c r="A31" s="5"/>
      <c r="B31" s="17" t="s">
        <v>37</v>
      </c>
      <c r="C31" s="17">
        <v>-1.2</v>
      </c>
      <c r="D31" s="17">
        <v>50</v>
      </c>
      <c r="E31" s="17">
        <v>0</v>
      </c>
      <c r="F31" s="17">
        <v>10</v>
      </c>
      <c r="H31" s="17">
        <v>100</v>
      </c>
      <c r="J31" s="17">
        <v>4.2664999999999997</v>
      </c>
      <c r="K31" s="17">
        <v>2.31</v>
      </c>
      <c r="M31" s="6">
        <f t="shared" si="1"/>
        <v>18.943260000000002</v>
      </c>
      <c r="N31" s="6">
        <f t="shared" si="1"/>
        <v>10.256400000000001</v>
      </c>
      <c r="P31" s="17">
        <f t="shared" si="2"/>
        <v>0.32145358900390297</v>
      </c>
      <c r="Q31" s="17">
        <f t="shared" si="3"/>
        <v>0.17475549497359008</v>
      </c>
      <c r="S31" s="18">
        <f t="shared" si="4"/>
        <v>1.839447675464984</v>
      </c>
      <c r="T31" s="18"/>
      <c r="U31" s="18">
        <f t="shared" si="5"/>
        <v>64.781883158447656</v>
      </c>
      <c r="V31" s="19"/>
      <c r="W31" s="18">
        <f t="shared" si="6"/>
        <v>29.199660000000002</v>
      </c>
      <c r="X31"/>
      <c r="Y31">
        <f t="shared" si="0"/>
        <v>4.962090839774931E-7</v>
      </c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 s="9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  <c r="IM31" s="10"/>
      <c r="IN31" s="10"/>
      <c r="IO31" s="10"/>
      <c r="IP31" s="10"/>
      <c r="IQ31" s="10"/>
      <c r="IR31" s="10"/>
      <c r="IS31" s="10"/>
      <c r="IT31" s="10"/>
      <c r="IU31" s="10"/>
      <c r="IV31" s="10"/>
      <c r="IW31" s="10"/>
      <c r="IX31" s="10"/>
      <c r="IY31" s="10"/>
      <c r="IZ31" s="10"/>
      <c r="JA31" s="10"/>
      <c r="JB31" s="10"/>
      <c r="JC31" s="10"/>
      <c r="JD31" s="10"/>
      <c r="JE31" s="10"/>
      <c r="JF31" s="10"/>
      <c r="JG31" s="10"/>
      <c r="JH31" s="10"/>
      <c r="JI31" s="10"/>
      <c r="JJ31" s="10"/>
      <c r="JK31" s="10"/>
      <c r="JL31" s="10"/>
      <c r="JM31" s="10"/>
      <c r="JN31" s="10"/>
      <c r="JO31" s="10"/>
      <c r="JP31" s="10"/>
      <c r="JQ31" s="10"/>
      <c r="JR31" s="10"/>
      <c r="JS31" s="10"/>
      <c r="JT31" s="10"/>
      <c r="JU31" s="10"/>
      <c r="JV31" s="10"/>
      <c r="JW31" s="10"/>
      <c r="JX31" s="10"/>
      <c r="JY31" s="10"/>
      <c r="JZ31" s="10"/>
      <c r="KA31" s="10"/>
      <c r="KB31" s="10"/>
      <c r="KC31" s="10"/>
      <c r="KD31" s="10"/>
      <c r="KE31" s="10"/>
      <c r="KF31" s="10"/>
      <c r="KG31" s="10"/>
      <c r="KH31" s="10"/>
      <c r="KI31" s="10"/>
      <c r="KJ31" s="10"/>
      <c r="KK31" s="10"/>
    </row>
    <row r="32" spans="1:297" s="17" customFormat="1" x14ac:dyDescent="0.2">
      <c r="A32" s="5"/>
      <c r="B32" s="17" t="s">
        <v>38</v>
      </c>
      <c r="C32" s="17">
        <v>-1.2</v>
      </c>
      <c r="D32" s="17">
        <v>100</v>
      </c>
      <c r="E32" s="17">
        <v>0</v>
      </c>
      <c r="F32" s="17">
        <v>10</v>
      </c>
      <c r="H32" s="17">
        <v>100</v>
      </c>
      <c r="J32" s="17">
        <v>3.8035999999999999</v>
      </c>
      <c r="K32" s="17">
        <v>3.097</v>
      </c>
      <c r="M32" s="6">
        <f t="shared" si="1"/>
        <v>16.887983999999999</v>
      </c>
      <c r="N32" s="6">
        <f t="shared" si="1"/>
        <v>13.750680000000001</v>
      </c>
      <c r="P32" s="17">
        <f t="shared" si="2"/>
        <v>0.28657702358730697</v>
      </c>
      <c r="Q32" s="17">
        <f t="shared" si="3"/>
        <v>0.23429340603169196</v>
      </c>
      <c r="S32" s="18">
        <f t="shared" si="4"/>
        <v>1.2231544559497454</v>
      </c>
      <c r="T32" s="18"/>
      <c r="U32" s="18">
        <f t="shared" si="5"/>
        <v>55.018869816996407</v>
      </c>
      <c r="V32" s="19"/>
      <c r="W32" s="18">
        <f t="shared" si="6"/>
        <v>30.638663999999999</v>
      </c>
      <c r="X32"/>
      <c r="Y32">
        <f t="shared" si="0"/>
        <v>5.2087042961899902E-7</v>
      </c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 s="9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"/>
      <c r="HX32" s="10"/>
      <c r="HY32" s="10"/>
      <c r="HZ32" s="10"/>
      <c r="IA32" s="10"/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  <c r="IM32" s="10"/>
      <c r="IN32" s="10"/>
      <c r="IO32" s="10"/>
      <c r="IP32" s="10"/>
      <c r="IQ32" s="10"/>
      <c r="IR32" s="10"/>
      <c r="IS32" s="10"/>
      <c r="IT32" s="10"/>
      <c r="IU32" s="10"/>
      <c r="IV32" s="10"/>
      <c r="IW32" s="10"/>
      <c r="IX32" s="10"/>
      <c r="IY32" s="10"/>
      <c r="IZ32" s="10"/>
      <c r="JA32" s="10"/>
      <c r="JB32" s="10"/>
      <c r="JC32" s="10"/>
      <c r="JD32" s="10"/>
      <c r="JE32" s="10"/>
      <c r="JF32" s="10"/>
      <c r="JG32" s="10"/>
      <c r="JH32" s="10"/>
      <c r="JI32" s="10"/>
      <c r="JJ32" s="10"/>
      <c r="JK32" s="10"/>
      <c r="JL32" s="10"/>
      <c r="JM32" s="10"/>
      <c r="JN32" s="10"/>
      <c r="JO32" s="10"/>
      <c r="JP32" s="10"/>
      <c r="JQ32" s="10"/>
      <c r="JR32" s="10"/>
      <c r="JS32" s="10"/>
      <c r="JT32" s="10"/>
      <c r="JU32" s="10"/>
      <c r="JV32" s="10"/>
      <c r="JW32" s="10"/>
      <c r="JX32" s="10"/>
      <c r="JY32" s="10"/>
      <c r="JZ32" s="10"/>
      <c r="KA32" s="10"/>
      <c r="KB32" s="10"/>
      <c r="KC32" s="10"/>
      <c r="KD32" s="10"/>
      <c r="KE32" s="10"/>
      <c r="KF32" s="10"/>
      <c r="KG32" s="10"/>
      <c r="KH32" s="10"/>
      <c r="KI32" s="10"/>
      <c r="KJ32" s="10"/>
      <c r="KK32" s="10"/>
    </row>
    <row r="33" spans="1:297" s="17" customFormat="1" x14ac:dyDescent="0.2">
      <c r="A33" s="5"/>
      <c r="B33" s="17" t="s">
        <v>39</v>
      </c>
      <c r="C33" s="17">
        <v>-1.2</v>
      </c>
      <c r="D33" s="17">
        <v>250</v>
      </c>
      <c r="E33" s="17">
        <v>0</v>
      </c>
      <c r="F33" s="17">
        <v>10</v>
      </c>
      <c r="H33" s="17">
        <v>100</v>
      </c>
      <c r="J33" s="17">
        <v>5.1303000000000001</v>
      </c>
      <c r="K33" s="17">
        <v>3.0954999999999999</v>
      </c>
      <c r="M33" s="6">
        <f t="shared" si="1"/>
        <v>22.778532000000002</v>
      </c>
      <c r="N33" s="6">
        <f t="shared" si="1"/>
        <v>13.744020000000001</v>
      </c>
      <c r="P33" s="17">
        <f t="shared" si="2"/>
        <v>0.38653541489903281</v>
      </c>
      <c r="Q33" s="17">
        <f t="shared" si="3"/>
        <v>0.23417992843755328</v>
      </c>
      <c r="S33" s="18">
        <f t="shared" si="4"/>
        <v>1.6505915663993673</v>
      </c>
      <c r="T33" s="18"/>
      <c r="U33" s="18">
        <f t="shared" si="5"/>
        <v>62.272572935164582</v>
      </c>
      <c r="V33" s="19"/>
      <c r="W33" s="18">
        <f t="shared" si="6"/>
        <v>36.522552000000005</v>
      </c>
      <c r="X33"/>
      <c r="Y33">
        <f t="shared" si="0"/>
        <v>6.2071534333658602E-7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 s="9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  <c r="HT33" s="10"/>
      <c r="HU33" s="10"/>
      <c r="HV33" s="10"/>
      <c r="HW33" s="10"/>
      <c r="HX33" s="10"/>
      <c r="HY33" s="10"/>
      <c r="HZ33" s="10"/>
      <c r="IA33" s="10"/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  <c r="IM33" s="10"/>
      <c r="IN33" s="10"/>
      <c r="IO33" s="10"/>
      <c r="IP33" s="10"/>
      <c r="IQ33" s="10"/>
      <c r="IR33" s="10"/>
      <c r="IS33" s="10"/>
      <c r="IT33" s="10"/>
      <c r="IU33" s="10"/>
      <c r="IV33" s="10"/>
      <c r="IW33" s="10"/>
      <c r="IX33" s="10"/>
      <c r="IY33" s="10"/>
      <c r="IZ33" s="10"/>
      <c r="JA33" s="10"/>
      <c r="JB33" s="10"/>
      <c r="JC33" s="10"/>
      <c r="JD33" s="10"/>
      <c r="JE33" s="10"/>
      <c r="JF33" s="10"/>
      <c r="JG33" s="10"/>
      <c r="JH33" s="10"/>
      <c r="JI33" s="10"/>
      <c r="JJ33" s="10"/>
      <c r="JK33" s="10"/>
      <c r="JL33" s="10"/>
      <c r="JM33" s="10"/>
      <c r="JN33" s="10"/>
      <c r="JO33" s="10"/>
      <c r="JP33" s="10"/>
      <c r="JQ33" s="10"/>
      <c r="JR33" s="10"/>
      <c r="JS33" s="10"/>
      <c r="JT33" s="10"/>
      <c r="JU33" s="10"/>
      <c r="JV33" s="10"/>
      <c r="JW33" s="10"/>
      <c r="JX33" s="10"/>
      <c r="JY33" s="10"/>
      <c r="JZ33" s="10"/>
      <c r="KA33" s="10"/>
      <c r="KB33" s="10"/>
      <c r="KC33" s="10"/>
      <c r="KD33" s="10"/>
      <c r="KE33" s="10"/>
      <c r="KF33" s="10"/>
      <c r="KG33" s="10"/>
      <c r="KH33" s="10"/>
      <c r="KI33" s="10"/>
      <c r="KJ33" s="10"/>
      <c r="KK33" s="10"/>
    </row>
    <row r="34" spans="1:297" s="17" customFormat="1" x14ac:dyDescent="0.2">
      <c r="A34" s="5"/>
      <c r="B34" s="17" t="s">
        <v>40</v>
      </c>
      <c r="C34" s="17">
        <v>-1.2</v>
      </c>
      <c r="D34" s="17">
        <v>500</v>
      </c>
      <c r="E34" s="17">
        <v>0</v>
      </c>
      <c r="F34" s="17">
        <v>10</v>
      </c>
      <c r="H34" s="17">
        <v>100</v>
      </c>
      <c r="J34" s="17">
        <v>4.1500000000000004</v>
      </c>
      <c r="K34" s="17">
        <v>3.4737</v>
      </c>
      <c r="M34" s="6">
        <f t="shared" si="1"/>
        <v>18.426000000000002</v>
      </c>
      <c r="N34" s="6">
        <f t="shared" si="1"/>
        <v>15.423228000000002</v>
      </c>
      <c r="P34" s="17">
        <f t="shared" si="2"/>
        <v>0.3126760563380282</v>
      </c>
      <c r="Q34" s="17">
        <f t="shared" si="3"/>
        <v>0.26279141250638954</v>
      </c>
      <c r="S34" s="18">
        <f t="shared" si="4"/>
        <v>1.1898260044187166</v>
      </c>
      <c r="T34" s="18"/>
      <c r="U34" s="18">
        <f t="shared" si="5"/>
        <v>54.334271399546779</v>
      </c>
      <c r="V34" s="19"/>
      <c r="W34" s="18">
        <f t="shared" si="6"/>
        <v>33.849228000000004</v>
      </c>
      <c r="X34"/>
      <c r="Y34">
        <f t="shared" si="0"/>
        <v>5.7546746884441771E-7</v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 s="9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  <c r="HT34" s="10"/>
      <c r="HU34" s="10"/>
      <c r="HV34" s="10"/>
      <c r="HW34" s="10"/>
      <c r="HX34" s="10"/>
      <c r="HY34" s="10"/>
      <c r="HZ34" s="10"/>
      <c r="IA34" s="10"/>
      <c r="IB34" s="10"/>
      <c r="IC34" s="10"/>
      <c r="ID34" s="10"/>
      <c r="IE34" s="10"/>
      <c r="IF34" s="10"/>
      <c r="IG34" s="10"/>
      <c r="IH34" s="10"/>
      <c r="II34" s="10"/>
      <c r="IJ34" s="10"/>
      <c r="IK34" s="10"/>
      <c r="IL34" s="10"/>
      <c r="IM34" s="10"/>
      <c r="IN34" s="10"/>
      <c r="IO34" s="10"/>
      <c r="IP34" s="10"/>
      <c r="IQ34" s="10"/>
      <c r="IR34" s="10"/>
      <c r="IS34" s="10"/>
      <c r="IT34" s="10"/>
      <c r="IU34" s="10"/>
      <c r="IV34" s="10"/>
      <c r="IW34" s="10"/>
      <c r="IX34" s="10"/>
      <c r="IY34" s="10"/>
      <c r="IZ34" s="10"/>
      <c r="JA34" s="10"/>
      <c r="JB34" s="10"/>
      <c r="JC34" s="10"/>
      <c r="JD34" s="10"/>
      <c r="JE34" s="10"/>
      <c r="JF34" s="10"/>
      <c r="JG34" s="10"/>
      <c r="JH34" s="10"/>
      <c r="JI34" s="10"/>
      <c r="JJ34" s="10"/>
      <c r="JK34" s="10"/>
      <c r="JL34" s="10"/>
      <c r="JM34" s="10"/>
      <c r="JN34" s="10"/>
      <c r="JO34" s="10"/>
      <c r="JP34" s="10"/>
      <c r="JQ34" s="10"/>
      <c r="JR34" s="10"/>
      <c r="JS34" s="10"/>
      <c r="JT34" s="10"/>
      <c r="JU34" s="10"/>
      <c r="JV34" s="10"/>
      <c r="JW34" s="10"/>
      <c r="JX34" s="10"/>
      <c r="JY34" s="10"/>
      <c r="JZ34" s="10"/>
      <c r="KA34" s="10"/>
      <c r="KB34" s="10"/>
      <c r="KC34" s="10"/>
      <c r="KD34" s="10"/>
      <c r="KE34" s="10"/>
      <c r="KF34" s="10"/>
      <c r="KG34" s="10"/>
      <c r="KH34" s="10"/>
      <c r="KI34" s="10"/>
      <c r="KJ34" s="10"/>
      <c r="KK34" s="10"/>
    </row>
    <row r="35" spans="1:297" s="17" customFormat="1" x14ac:dyDescent="0.2">
      <c r="A35" s="5"/>
      <c r="B35" s="17" t="s">
        <v>41</v>
      </c>
      <c r="C35" s="17">
        <v>-1.2</v>
      </c>
      <c r="D35" s="17">
        <v>1000</v>
      </c>
      <c r="E35" s="17">
        <v>0</v>
      </c>
      <c r="F35" s="17">
        <v>10</v>
      </c>
      <c r="H35" s="17">
        <v>100</v>
      </c>
      <c r="J35" s="17">
        <v>4.0437000000000003</v>
      </c>
      <c r="K35" s="17">
        <v>3.5158</v>
      </c>
      <c r="M35" s="6">
        <f t="shared" si="1"/>
        <v>17.954028000000005</v>
      </c>
      <c r="N35" s="6">
        <f t="shared" si="1"/>
        <v>15.610152000000001</v>
      </c>
      <c r="P35" s="17">
        <f t="shared" si="2"/>
        <v>0.30466702867809276</v>
      </c>
      <c r="Q35" s="17">
        <f t="shared" si="3"/>
        <v>0.26597635031521555</v>
      </c>
      <c r="S35" s="18">
        <f t="shared" si="4"/>
        <v>1.1454666112871459</v>
      </c>
      <c r="T35" s="18"/>
      <c r="U35" s="18">
        <f t="shared" si="5"/>
        <v>53.390092638166834</v>
      </c>
      <c r="V35" s="19"/>
      <c r="W35" s="18">
        <f t="shared" si="6"/>
        <v>33.564180000000007</v>
      </c>
      <c r="X35"/>
      <c r="Y35">
        <f t="shared" si="0"/>
        <v>5.7064337899330834E-7</v>
      </c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 s="9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  <c r="HT35" s="10"/>
      <c r="HU35" s="10"/>
      <c r="HV35" s="10"/>
      <c r="HW35" s="10"/>
      <c r="HX35" s="10"/>
      <c r="HY35" s="10"/>
      <c r="HZ35" s="10"/>
      <c r="IA35" s="10"/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  <c r="IM35" s="10"/>
      <c r="IN35" s="10"/>
      <c r="IO35" s="10"/>
      <c r="IP35" s="10"/>
      <c r="IQ35" s="10"/>
      <c r="IR35" s="10"/>
      <c r="IS35" s="10"/>
      <c r="IT35" s="10"/>
      <c r="IU35" s="10"/>
      <c r="IV35" s="10"/>
      <c r="IW35" s="10"/>
      <c r="IX35" s="10"/>
      <c r="IY35" s="10"/>
      <c r="IZ35" s="10"/>
      <c r="JA35" s="10"/>
      <c r="JB35" s="10"/>
      <c r="JC35" s="10"/>
      <c r="JD35" s="10"/>
      <c r="JE35" s="10"/>
      <c r="JF35" s="10"/>
      <c r="JG35" s="10"/>
      <c r="JH35" s="10"/>
      <c r="JI35" s="10"/>
      <c r="JJ35" s="10"/>
      <c r="JK35" s="10"/>
      <c r="JL35" s="10"/>
      <c r="JM35" s="10"/>
      <c r="JN35" s="10"/>
      <c r="JO35" s="10"/>
      <c r="JP35" s="10"/>
      <c r="JQ35" s="10"/>
      <c r="JR35" s="10"/>
      <c r="JS35" s="10"/>
      <c r="JT35" s="10"/>
      <c r="JU35" s="10"/>
      <c r="JV35" s="10"/>
      <c r="JW35" s="10"/>
      <c r="JX35" s="10"/>
      <c r="JY35" s="10"/>
      <c r="JZ35" s="10"/>
      <c r="KA35" s="10"/>
      <c r="KB35" s="10"/>
      <c r="KC35" s="10"/>
      <c r="KD35" s="10"/>
      <c r="KE35" s="10"/>
      <c r="KF35" s="10"/>
      <c r="KG35" s="10"/>
      <c r="KH35" s="10"/>
      <c r="KI35" s="10"/>
      <c r="KJ35" s="10"/>
      <c r="KK35" s="10"/>
    </row>
    <row r="36" spans="1:297" s="20" customFormat="1" x14ac:dyDescent="0.2">
      <c r="A36" s="5"/>
      <c r="B36" s="20" t="s">
        <v>42</v>
      </c>
      <c r="C36" s="20">
        <v>-1.3</v>
      </c>
      <c r="D36" s="20">
        <v>5</v>
      </c>
      <c r="E36" s="20">
        <v>0</v>
      </c>
      <c r="F36" s="20">
        <v>10</v>
      </c>
      <c r="H36" s="20">
        <v>100</v>
      </c>
      <c r="J36" s="20">
        <v>9.2999999999999992E-3</v>
      </c>
      <c r="K36" s="20">
        <v>6.0000000000000001E-3</v>
      </c>
      <c r="M36" s="6">
        <f t="shared" si="1"/>
        <v>4.1292000000000002E-2</v>
      </c>
      <c r="N36" s="6">
        <f t="shared" si="1"/>
        <v>2.6640000000000004E-2</v>
      </c>
      <c r="P36" s="20">
        <f t="shared" si="2"/>
        <v>7.0069574070931613E-4</v>
      </c>
      <c r="Q36" s="20">
        <f t="shared" si="3"/>
        <v>4.5391037655477946E-4</v>
      </c>
      <c r="S36" s="21">
        <f t="shared" si="4"/>
        <v>1.5436874257593751</v>
      </c>
      <c r="T36" s="21"/>
      <c r="U36" s="21">
        <f t="shared" si="5"/>
        <v>60.6869936190581</v>
      </c>
      <c r="V36" s="22"/>
      <c r="W36" s="43">
        <f t="shared" si="6"/>
        <v>6.7932000000000006E-2</v>
      </c>
      <c r="X36"/>
      <c r="Y36" s="42">
        <f t="shared" si="0"/>
        <v>1.1546061172640957E-9</v>
      </c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 s="9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  <c r="HT36" s="10"/>
      <c r="HU36" s="10"/>
      <c r="HV36" s="10"/>
      <c r="HW36" s="10"/>
      <c r="HX36" s="10"/>
      <c r="HY36" s="10"/>
      <c r="HZ36" s="10"/>
      <c r="IA36" s="10"/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  <c r="IM36" s="10"/>
      <c r="IN36" s="10"/>
      <c r="IO36" s="10"/>
      <c r="IP36" s="10"/>
      <c r="IQ36" s="10"/>
      <c r="IR36" s="10"/>
      <c r="IS36" s="10"/>
      <c r="IT36" s="10"/>
      <c r="IU36" s="10"/>
      <c r="IV36" s="10"/>
      <c r="IW36" s="10"/>
      <c r="IX36" s="10"/>
      <c r="IY36" s="10"/>
      <c r="IZ36" s="10"/>
      <c r="JA36" s="10"/>
      <c r="JB36" s="10"/>
      <c r="JC36" s="10"/>
      <c r="JD36" s="10"/>
      <c r="JE36" s="10"/>
      <c r="JF36" s="10"/>
      <c r="JG36" s="10"/>
      <c r="JH36" s="10"/>
      <c r="JI36" s="10"/>
      <c r="JJ36" s="10"/>
      <c r="JK36" s="10"/>
      <c r="JL36" s="10"/>
      <c r="JM36" s="10"/>
      <c r="JN36" s="10"/>
      <c r="JO36" s="10"/>
      <c r="JP36" s="10"/>
      <c r="JQ36" s="10"/>
      <c r="JR36" s="10"/>
      <c r="JS36" s="10"/>
      <c r="JT36" s="10"/>
      <c r="JU36" s="10"/>
      <c r="JV36" s="10"/>
      <c r="JW36" s="10"/>
      <c r="JX36" s="10"/>
      <c r="JY36" s="10"/>
      <c r="JZ36" s="10"/>
      <c r="KA36" s="10"/>
      <c r="KB36" s="10"/>
      <c r="KC36" s="10"/>
      <c r="KD36" s="10"/>
      <c r="KE36" s="10"/>
      <c r="KF36" s="10"/>
      <c r="KG36" s="10"/>
      <c r="KH36" s="10"/>
      <c r="KI36" s="10"/>
      <c r="KJ36" s="10"/>
      <c r="KK36" s="10"/>
    </row>
    <row r="37" spans="1:297" s="20" customFormat="1" x14ac:dyDescent="0.2">
      <c r="A37" s="5"/>
      <c r="B37" s="20" t="s">
        <v>43</v>
      </c>
      <c r="C37" s="20">
        <v>-1.3</v>
      </c>
      <c r="D37" s="20">
        <v>10</v>
      </c>
      <c r="E37" s="20">
        <v>0</v>
      </c>
      <c r="F37" s="20">
        <v>10</v>
      </c>
      <c r="H37" s="20">
        <v>100</v>
      </c>
      <c r="J37" s="20">
        <v>0.97050000000000003</v>
      </c>
      <c r="K37" s="20">
        <v>0.4461</v>
      </c>
      <c r="M37" s="6">
        <f t="shared" si="1"/>
        <v>4.3090200000000003</v>
      </c>
      <c r="N37" s="6">
        <f t="shared" si="1"/>
        <v>1.9806840000000001</v>
      </c>
      <c r="P37" s="20">
        <f t="shared" si="2"/>
        <v>7.3120991006278641E-2</v>
      </c>
      <c r="Q37" s="20">
        <f t="shared" si="3"/>
        <v>3.3748236496847848E-2</v>
      </c>
      <c r="S37" s="21">
        <f t="shared" si="4"/>
        <v>2.1666610939243678</v>
      </c>
      <c r="T37" s="21"/>
      <c r="U37" s="21">
        <f t="shared" si="5"/>
        <v>68.420997058427758</v>
      </c>
      <c r="V37" s="22"/>
      <c r="W37" s="21">
        <f t="shared" si="6"/>
        <v>6.2897040000000004</v>
      </c>
      <c r="X37"/>
      <c r="Y37">
        <f t="shared" si="0"/>
        <v>1.068692275031265E-7</v>
      </c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 s="9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  <c r="HU37" s="10"/>
      <c r="HV37" s="10"/>
      <c r="HW37" s="10"/>
      <c r="HX37" s="10"/>
      <c r="HY37" s="10"/>
      <c r="HZ37" s="10"/>
      <c r="IA37" s="10"/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  <c r="IM37" s="10"/>
      <c r="IN37" s="10"/>
      <c r="IO37" s="10"/>
      <c r="IP37" s="10"/>
      <c r="IQ37" s="10"/>
      <c r="IR37" s="10"/>
      <c r="IS37" s="10"/>
      <c r="IT37" s="10"/>
      <c r="IU37" s="10"/>
      <c r="IV37" s="10"/>
      <c r="IW37" s="10"/>
      <c r="IX37" s="10"/>
      <c r="IY37" s="10"/>
      <c r="IZ37" s="10"/>
      <c r="JA37" s="10"/>
      <c r="JB37" s="10"/>
      <c r="JC37" s="10"/>
      <c r="JD37" s="10"/>
      <c r="JE37" s="10"/>
      <c r="JF37" s="10"/>
      <c r="JG37" s="10"/>
      <c r="JH37" s="10"/>
      <c r="JI37" s="10"/>
      <c r="JJ37" s="10"/>
      <c r="JK37" s="10"/>
      <c r="JL37" s="10"/>
      <c r="JM37" s="10"/>
      <c r="JN37" s="10"/>
      <c r="JO37" s="10"/>
      <c r="JP37" s="10"/>
      <c r="JQ37" s="10"/>
      <c r="JR37" s="10"/>
      <c r="JS37" s="10"/>
      <c r="JT37" s="10"/>
      <c r="JU37" s="10"/>
      <c r="JV37" s="10"/>
      <c r="JW37" s="10"/>
      <c r="JX37" s="10"/>
      <c r="JY37" s="10"/>
      <c r="JZ37" s="10"/>
      <c r="KA37" s="10"/>
      <c r="KB37" s="10"/>
      <c r="KC37" s="10"/>
      <c r="KD37" s="10"/>
      <c r="KE37" s="10"/>
      <c r="KF37" s="10"/>
      <c r="KG37" s="10"/>
      <c r="KH37" s="10"/>
      <c r="KI37" s="10"/>
      <c r="KJ37" s="10"/>
      <c r="KK37" s="10"/>
    </row>
    <row r="38" spans="1:297" s="20" customFormat="1" x14ac:dyDescent="0.2">
      <c r="A38" s="5"/>
      <c r="B38" s="20" t="s">
        <v>44</v>
      </c>
      <c r="C38" s="20">
        <v>-1.3</v>
      </c>
      <c r="D38" s="20">
        <v>25</v>
      </c>
      <c r="E38" s="20">
        <v>0</v>
      </c>
      <c r="F38" s="20">
        <v>10</v>
      </c>
      <c r="H38" s="20">
        <v>100</v>
      </c>
      <c r="J38" s="20">
        <v>4.3864000000000001</v>
      </c>
      <c r="K38" s="20">
        <v>2.7464</v>
      </c>
      <c r="M38" s="6">
        <f t="shared" si="1"/>
        <v>19.475616000000002</v>
      </c>
      <c r="N38" s="6">
        <f t="shared" si="1"/>
        <v>12.194016000000001</v>
      </c>
      <c r="P38" s="20">
        <f t="shared" si="2"/>
        <v>0.33048729000509081</v>
      </c>
      <c r="Q38" s="20">
        <f t="shared" si="3"/>
        <v>0.20776990969500769</v>
      </c>
      <c r="S38" s="21">
        <f t="shared" si="4"/>
        <v>1.5906407741632271</v>
      </c>
      <c r="T38" s="21"/>
      <c r="U38" s="21">
        <f t="shared" si="5"/>
        <v>61.399511272534568</v>
      </c>
      <c r="V38" s="22"/>
      <c r="W38" s="21">
        <f t="shared" si="6"/>
        <v>31.669632000000004</v>
      </c>
      <c r="X38"/>
      <c r="Y38">
        <f t="shared" si="0"/>
        <v>5.3825719970009841E-7</v>
      </c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 s="9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  <c r="HT38" s="10"/>
      <c r="HU38" s="10"/>
      <c r="HV38" s="10"/>
      <c r="HW38" s="10"/>
      <c r="HX38" s="10"/>
      <c r="HY38" s="10"/>
      <c r="HZ38" s="10"/>
      <c r="IA38" s="10"/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  <c r="IM38" s="10"/>
      <c r="IN38" s="10"/>
      <c r="IO38" s="10"/>
      <c r="IP38" s="10"/>
      <c r="IQ38" s="10"/>
      <c r="IR38" s="10"/>
      <c r="IS38" s="10"/>
      <c r="IT38" s="10"/>
      <c r="IU38" s="10"/>
      <c r="IV38" s="10"/>
      <c r="IW38" s="10"/>
      <c r="IX38" s="10"/>
      <c r="IY38" s="10"/>
      <c r="IZ38" s="10"/>
      <c r="JA38" s="10"/>
      <c r="JB38" s="10"/>
      <c r="JC38" s="10"/>
      <c r="JD38" s="10"/>
      <c r="JE38" s="10"/>
      <c r="JF38" s="10"/>
      <c r="JG38" s="10"/>
      <c r="JH38" s="10"/>
      <c r="JI38" s="10"/>
      <c r="JJ38" s="10"/>
      <c r="JK38" s="10"/>
      <c r="JL38" s="10"/>
      <c r="JM38" s="10"/>
      <c r="JN38" s="10"/>
      <c r="JO38" s="10"/>
      <c r="JP38" s="10"/>
      <c r="JQ38" s="10"/>
      <c r="JR38" s="10"/>
      <c r="JS38" s="10"/>
      <c r="JT38" s="10"/>
      <c r="JU38" s="10"/>
      <c r="JV38" s="10"/>
      <c r="JW38" s="10"/>
      <c r="JX38" s="10"/>
      <c r="JY38" s="10"/>
      <c r="JZ38" s="10"/>
      <c r="KA38" s="10"/>
      <c r="KB38" s="10"/>
      <c r="KC38" s="10"/>
      <c r="KD38" s="10"/>
      <c r="KE38" s="10"/>
      <c r="KF38" s="10"/>
      <c r="KG38" s="10"/>
      <c r="KH38" s="10"/>
      <c r="KI38" s="10"/>
      <c r="KJ38" s="10"/>
      <c r="KK38" s="10"/>
    </row>
    <row r="39" spans="1:297" s="20" customFormat="1" x14ac:dyDescent="0.2">
      <c r="A39" s="5"/>
      <c r="B39" s="20" t="s">
        <v>45</v>
      </c>
      <c r="C39" s="20">
        <v>-1.3</v>
      </c>
      <c r="D39" s="20">
        <v>50</v>
      </c>
      <c r="E39" s="20">
        <v>0</v>
      </c>
      <c r="F39" s="20">
        <v>10</v>
      </c>
      <c r="H39" s="20">
        <v>100</v>
      </c>
      <c r="J39" s="20">
        <v>4.7453000000000003</v>
      </c>
      <c r="K39" s="20">
        <v>3.9300999999999999</v>
      </c>
      <c r="M39" s="6">
        <f t="shared" si="1"/>
        <v>21.069132000000003</v>
      </c>
      <c r="N39" s="6">
        <f t="shared" si="1"/>
        <v>17.449644000000003</v>
      </c>
      <c r="P39" s="20">
        <f t="shared" si="2"/>
        <v>0.35752811810622781</v>
      </c>
      <c r="Q39" s="20">
        <f t="shared" si="3"/>
        <v>0.29731886181632311</v>
      </c>
      <c r="S39" s="21">
        <f t="shared" si="4"/>
        <v>1.2025073549726577</v>
      </c>
      <c r="T39" s="21"/>
      <c r="U39" s="21">
        <f t="shared" si="5"/>
        <v>54.597200425130289</v>
      </c>
      <c r="V39" s="22"/>
      <c r="W39" s="21">
        <f t="shared" si="6"/>
        <v>38.518776000000003</v>
      </c>
      <c r="X39"/>
      <c r="Y39">
        <f t="shared" si="0"/>
        <v>6.5484697992255093E-7</v>
      </c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 s="9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  <c r="HT39" s="10"/>
      <c r="HU39" s="10"/>
      <c r="HV39" s="10"/>
      <c r="HW39" s="10"/>
      <c r="HX39" s="10"/>
      <c r="HY39" s="10"/>
      <c r="HZ39" s="10"/>
      <c r="IA39" s="10"/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  <c r="IM39" s="10"/>
      <c r="IN39" s="10"/>
      <c r="IO39" s="10"/>
      <c r="IP39" s="10"/>
      <c r="IQ39" s="10"/>
      <c r="IR39" s="10"/>
      <c r="IS39" s="10"/>
      <c r="IT39" s="10"/>
      <c r="IU39" s="10"/>
      <c r="IV39" s="10"/>
      <c r="IW39" s="10"/>
      <c r="IX39" s="10"/>
      <c r="IY39" s="10"/>
      <c r="IZ39" s="10"/>
      <c r="JA39" s="10"/>
      <c r="JB39" s="10"/>
      <c r="JC39" s="10"/>
      <c r="JD39" s="10"/>
      <c r="JE39" s="10"/>
      <c r="JF39" s="10"/>
      <c r="JG39" s="10"/>
      <c r="JH39" s="10"/>
      <c r="JI39" s="10"/>
      <c r="JJ39" s="10"/>
      <c r="JK39" s="10"/>
      <c r="JL39" s="10"/>
      <c r="JM39" s="10"/>
      <c r="JN39" s="10"/>
      <c r="JO39" s="10"/>
      <c r="JP39" s="10"/>
      <c r="JQ39" s="10"/>
      <c r="JR39" s="10"/>
      <c r="JS39" s="10"/>
      <c r="JT39" s="10"/>
      <c r="JU39" s="10"/>
      <c r="JV39" s="10"/>
      <c r="JW39" s="10"/>
      <c r="JX39" s="10"/>
      <c r="JY39" s="10"/>
      <c r="JZ39" s="10"/>
      <c r="KA39" s="10"/>
      <c r="KB39" s="10"/>
      <c r="KC39" s="10"/>
      <c r="KD39" s="10"/>
      <c r="KE39" s="10"/>
      <c r="KF39" s="10"/>
      <c r="KG39" s="10"/>
      <c r="KH39" s="10"/>
      <c r="KI39" s="10"/>
      <c r="KJ39" s="10"/>
      <c r="KK39" s="10"/>
    </row>
    <row r="40" spans="1:297" s="20" customFormat="1" x14ac:dyDescent="0.2">
      <c r="A40" s="5"/>
      <c r="B40" s="20" t="s">
        <v>46</v>
      </c>
      <c r="C40" s="20">
        <v>-1.3</v>
      </c>
      <c r="D40" s="20">
        <v>100</v>
      </c>
      <c r="E40" s="20">
        <v>0</v>
      </c>
      <c r="F40" s="20">
        <v>10</v>
      </c>
      <c r="H40" s="20">
        <v>100</v>
      </c>
      <c r="J40" s="20">
        <v>4.1608999999999998</v>
      </c>
      <c r="K40" s="20">
        <v>3.7650000000000001</v>
      </c>
      <c r="M40" s="6">
        <f t="shared" si="1"/>
        <v>18.474396000000002</v>
      </c>
      <c r="N40" s="6">
        <f t="shared" si="1"/>
        <v>16.716600000000003</v>
      </c>
      <c r="P40" s="20">
        <f t="shared" si="2"/>
        <v>0.31349730188359076</v>
      </c>
      <c r="Q40" s="20">
        <f t="shared" si="3"/>
        <v>0.28482876128812412</v>
      </c>
      <c r="S40" s="21">
        <f t="shared" si="4"/>
        <v>1.1006518459224923</v>
      </c>
      <c r="T40" s="21"/>
      <c r="U40" s="21">
        <f t="shared" si="5"/>
        <v>52.395728880962935</v>
      </c>
      <c r="V40" s="22"/>
      <c r="W40" s="21">
        <f t="shared" si="6"/>
        <v>35.190996000000005</v>
      </c>
      <c r="X40"/>
      <c r="Y40">
        <f t="shared" si="0"/>
        <v>5.9832606317171491E-7</v>
      </c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 s="9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  <c r="HS40" s="10"/>
      <c r="HT40" s="10"/>
      <c r="HU40" s="10"/>
      <c r="HV40" s="10"/>
      <c r="HW40" s="10"/>
      <c r="HX40" s="10"/>
      <c r="HY40" s="10"/>
      <c r="HZ40" s="10"/>
      <c r="IA40" s="10"/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  <c r="IM40" s="10"/>
      <c r="IN40" s="10"/>
      <c r="IO40" s="10"/>
      <c r="IP40" s="10"/>
      <c r="IQ40" s="10"/>
      <c r="IR40" s="10"/>
      <c r="IS40" s="10"/>
      <c r="IT40" s="10"/>
      <c r="IU40" s="10"/>
      <c r="IV40" s="10"/>
      <c r="IW40" s="10"/>
      <c r="IX40" s="10"/>
      <c r="IY40" s="10"/>
      <c r="IZ40" s="10"/>
      <c r="JA40" s="10"/>
      <c r="JB40" s="10"/>
      <c r="JC40" s="10"/>
      <c r="JD40" s="10"/>
      <c r="JE40" s="10"/>
      <c r="JF40" s="10"/>
      <c r="JG40" s="10"/>
      <c r="JH40" s="10"/>
      <c r="JI40" s="10"/>
      <c r="JJ40" s="10"/>
      <c r="JK40" s="10"/>
      <c r="JL40" s="10"/>
      <c r="JM40" s="10"/>
      <c r="JN40" s="10"/>
      <c r="JO40" s="10"/>
      <c r="JP40" s="10"/>
      <c r="JQ40" s="10"/>
      <c r="JR40" s="10"/>
      <c r="JS40" s="10"/>
      <c r="JT40" s="10"/>
      <c r="JU40" s="10"/>
      <c r="JV40" s="10"/>
      <c r="JW40" s="10"/>
      <c r="JX40" s="10"/>
      <c r="JY40" s="10"/>
      <c r="JZ40" s="10"/>
      <c r="KA40" s="10"/>
      <c r="KB40" s="10"/>
      <c r="KC40" s="10"/>
      <c r="KD40" s="10"/>
      <c r="KE40" s="10"/>
      <c r="KF40" s="10"/>
      <c r="KG40" s="10"/>
      <c r="KH40" s="10"/>
      <c r="KI40" s="10"/>
      <c r="KJ40" s="10"/>
      <c r="KK40" s="10"/>
    </row>
    <row r="41" spans="1:297" s="20" customFormat="1" x14ac:dyDescent="0.2">
      <c r="A41" s="5"/>
      <c r="B41" s="20" t="s">
        <v>47</v>
      </c>
      <c r="C41" s="20">
        <v>-1.3</v>
      </c>
      <c r="D41" s="20">
        <v>250</v>
      </c>
      <c r="E41" s="20">
        <v>0</v>
      </c>
      <c r="F41" s="20">
        <v>10</v>
      </c>
      <c r="H41" s="20">
        <v>100</v>
      </c>
      <c r="J41" s="20">
        <v>3.8679999999999999</v>
      </c>
      <c r="K41" s="20">
        <v>3.5272999999999999</v>
      </c>
      <c r="M41" s="6">
        <f t="shared" si="1"/>
        <v>17.173920000000003</v>
      </c>
      <c r="N41" s="6">
        <f t="shared" si="1"/>
        <v>15.661212000000001</v>
      </c>
      <c r="P41" s="20">
        <f t="shared" si="2"/>
        <v>0.29142915323264895</v>
      </c>
      <c r="Q41" s="20">
        <f t="shared" si="3"/>
        <v>0.26684634520361222</v>
      </c>
      <c r="S41" s="21">
        <f t="shared" si="4"/>
        <v>1.092123457828434</v>
      </c>
      <c r="T41" s="21"/>
      <c r="U41" s="21">
        <f t="shared" si="5"/>
        <v>52.201673555251261</v>
      </c>
      <c r="V41" s="22"/>
      <c r="W41" s="21">
        <f t="shared" si="6"/>
        <v>32.835132000000002</v>
      </c>
      <c r="X41"/>
      <c r="Y41">
        <f t="shared" si="0"/>
        <v>5.5827549843626122E-7</v>
      </c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 s="9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  <c r="HS41" s="10"/>
      <c r="HT41" s="10"/>
      <c r="HU41" s="10"/>
      <c r="HV41" s="10"/>
      <c r="HW41" s="10"/>
      <c r="HX41" s="10"/>
      <c r="HY41" s="10"/>
      <c r="HZ41" s="10"/>
      <c r="IA41" s="10"/>
      <c r="IB41" s="10"/>
      <c r="IC41" s="10"/>
      <c r="ID41" s="10"/>
      <c r="IE41" s="10"/>
      <c r="IF41" s="10"/>
      <c r="IG41" s="10"/>
      <c r="IH41" s="10"/>
      <c r="II41" s="10"/>
      <c r="IJ41" s="10"/>
      <c r="IK41" s="10"/>
      <c r="IL41" s="10"/>
      <c r="IM41" s="10"/>
      <c r="IN41" s="10"/>
      <c r="IO41" s="10"/>
      <c r="IP41" s="10"/>
      <c r="IQ41" s="10"/>
      <c r="IR41" s="10"/>
      <c r="IS41" s="10"/>
      <c r="IT41" s="10"/>
      <c r="IU41" s="10"/>
      <c r="IV41" s="10"/>
      <c r="IW41" s="10"/>
      <c r="IX41" s="10"/>
      <c r="IY41" s="10"/>
      <c r="IZ41" s="10"/>
      <c r="JA41" s="10"/>
      <c r="JB41" s="10"/>
      <c r="JC41" s="10"/>
      <c r="JD41" s="10"/>
      <c r="JE41" s="10"/>
      <c r="JF41" s="10"/>
      <c r="JG41" s="10"/>
      <c r="JH41" s="10"/>
      <c r="JI41" s="10"/>
      <c r="JJ41" s="10"/>
      <c r="JK41" s="10"/>
      <c r="JL41" s="10"/>
      <c r="JM41" s="10"/>
      <c r="JN41" s="10"/>
      <c r="JO41" s="10"/>
      <c r="JP41" s="10"/>
      <c r="JQ41" s="10"/>
      <c r="JR41" s="10"/>
      <c r="JS41" s="10"/>
      <c r="JT41" s="10"/>
      <c r="JU41" s="10"/>
      <c r="JV41" s="10"/>
      <c r="JW41" s="10"/>
      <c r="JX41" s="10"/>
      <c r="JY41" s="10"/>
      <c r="JZ41" s="10"/>
      <c r="KA41" s="10"/>
      <c r="KB41" s="10"/>
      <c r="KC41" s="10"/>
      <c r="KD41" s="10"/>
      <c r="KE41" s="10"/>
      <c r="KF41" s="10"/>
      <c r="KG41" s="10"/>
      <c r="KH41" s="10"/>
      <c r="KI41" s="10"/>
      <c r="KJ41" s="10"/>
      <c r="KK41" s="10"/>
    </row>
    <row r="42" spans="1:297" s="20" customFormat="1" x14ac:dyDescent="0.2">
      <c r="A42" s="5"/>
      <c r="B42" s="20" t="s">
        <v>48</v>
      </c>
      <c r="C42" s="20">
        <v>-1.3</v>
      </c>
      <c r="D42" s="20">
        <v>500</v>
      </c>
      <c r="E42" s="20">
        <v>0</v>
      </c>
      <c r="F42" s="20">
        <v>10</v>
      </c>
      <c r="H42" s="20">
        <v>100</v>
      </c>
      <c r="J42" s="20">
        <v>3.5889000000000002</v>
      </c>
      <c r="K42" s="20">
        <v>3.2780999999999998</v>
      </c>
      <c r="M42" s="6">
        <f t="shared" si="1"/>
        <v>15.934716000000002</v>
      </c>
      <c r="N42" s="6">
        <f t="shared" si="1"/>
        <v>14.554764</v>
      </c>
      <c r="P42" s="20">
        <f t="shared" si="2"/>
        <v>0.27040074664856611</v>
      </c>
      <c r="Q42" s="20">
        <f t="shared" si="3"/>
        <v>0.24799393423070371</v>
      </c>
      <c r="S42" s="21">
        <f t="shared" si="4"/>
        <v>1.0903522599751081</v>
      </c>
      <c r="T42" s="21"/>
      <c r="U42" s="21">
        <f t="shared" si="5"/>
        <v>52.161173064107956</v>
      </c>
      <c r="V42" s="22"/>
      <c r="W42" s="21">
        <f t="shared" si="6"/>
        <v>30.48948</v>
      </c>
      <c r="X42"/>
      <c r="Y42">
        <f t="shared" si="0"/>
        <v>5.1839468087926992E-7</v>
      </c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 s="9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  <c r="HT42" s="10"/>
      <c r="HU42" s="10"/>
      <c r="HV42" s="10"/>
      <c r="HW42" s="10"/>
      <c r="HX42" s="10"/>
      <c r="HY42" s="10"/>
      <c r="HZ42" s="10"/>
      <c r="IA42" s="10"/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  <c r="IM42" s="10"/>
      <c r="IN42" s="10"/>
      <c r="IO42" s="10"/>
      <c r="IP42" s="10"/>
      <c r="IQ42" s="10"/>
      <c r="IR42" s="10"/>
      <c r="IS42" s="10"/>
      <c r="IT42" s="10"/>
      <c r="IU42" s="10"/>
      <c r="IV42" s="10"/>
      <c r="IW42" s="10"/>
      <c r="IX42" s="10"/>
      <c r="IY42" s="10"/>
      <c r="IZ42" s="10"/>
      <c r="JA42" s="10"/>
      <c r="JB42" s="10"/>
      <c r="JC42" s="10"/>
      <c r="JD42" s="10"/>
      <c r="JE42" s="10"/>
      <c r="JF42" s="10"/>
      <c r="JG42" s="10"/>
      <c r="JH42" s="10"/>
      <c r="JI42" s="10"/>
      <c r="JJ42" s="10"/>
      <c r="JK42" s="10"/>
      <c r="JL42" s="10"/>
      <c r="JM42" s="10"/>
      <c r="JN42" s="10"/>
      <c r="JO42" s="10"/>
      <c r="JP42" s="10"/>
      <c r="JQ42" s="10"/>
      <c r="JR42" s="10"/>
      <c r="JS42" s="10"/>
      <c r="JT42" s="10"/>
      <c r="JU42" s="10"/>
      <c r="JV42" s="10"/>
      <c r="JW42" s="10"/>
      <c r="JX42" s="10"/>
      <c r="JY42" s="10"/>
      <c r="JZ42" s="10"/>
      <c r="KA42" s="10"/>
      <c r="KB42" s="10"/>
      <c r="KC42" s="10"/>
      <c r="KD42" s="10"/>
      <c r="KE42" s="10"/>
      <c r="KF42" s="10"/>
      <c r="KG42" s="10"/>
      <c r="KH42" s="10"/>
      <c r="KI42" s="10"/>
      <c r="KJ42" s="10"/>
      <c r="KK42" s="10"/>
    </row>
    <row r="43" spans="1:297" s="20" customFormat="1" x14ac:dyDescent="0.2">
      <c r="A43" s="5"/>
      <c r="B43" s="20" t="s">
        <v>49</v>
      </c>
      <c r="C43" s="20">
        <v>-1.3</v>
      </c>
      <c r="D43" s="20">
        <v>1000</v>
      </c>
      <c r="E43" s="20">
        <v>0</v>
      </c>
      <c r="F43" s="20">
        <v>10</v>
      </c>
      <c r="H43" s="20">
        <v>100</v>
      </c>
      <c r="J43" s="20">
        <v>3.6160999999999999</v>
      </c>
      <c r="K43" s="20">
        <v>3.2905000000000002</v>
      </c>
      <c r="M43" s="6">
        <f t="shared" si="1"/>
        <v>16.055484</v>
      </c>
      <c r="N43" s="6">
        <f t="shared" si="1"/>
        <v>14.609820000000003</v>
      </c>
      <c r="P43" s="20">
        <f t="shared" si="2"/>
        <v>0.27245009333107079</v>
      </c>
      <c r="Q43" s="20">
        <f t="shared" si="3"/>
        <v>0.24893201567558362</v>
      </c>
      <c r="S43" s="21">
        <f t="shared" si="4"/>
        <v>1.0944759057675277</v>
      </c>
      <c r="T43" s="21"/>
      <c r="U43" s="21">
        <f t="shared" si="5"/>
        <v>52.255359097408828</v>
      </c>
      <c r="V43" s="22"/>
      <c r="W43" s="21">
        <f t="shared" si="6"/>
        <v>30.665304000000003</v>
      </c>
      <c r="X43"/>
      <c r="Y43">
        <f t="shared" si="0"/>
        <v>5.213821090066544E-7</v>
      </c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 s="9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  <c r="HR43" s="10"/>
      <c r="HS43" s="10"/>
      <c r="HT43" s="10"/>
      <c r="HU43" s="10"/>
      <c r="HV43" s="10"/>
      <c r="HW43" s="10"/>
      <c r="HX43" s="10"/>
      <c r="HY43" s="10"/>
      <c r="HZ43" s="10"/>
      <c r="IA43" s="10"/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  <c r="IM43" s="10"/>
      <c r="IN43" s="10"/>
      <c r="IO43" s="10"/>
      <c r="IP43" s="10"/>
      <c r="IQ43" s="10"/>
      <c r="IR43" s="10"/>
      <c r="IS43" s="10"/>
      <c r="IT43" s="10"/>
      <c r="IU43" s="10"/>
      <c r="IV43" s="10"/>
      <c r="IW43" s="10"/>
      <c r="IX43" s="10"/>
      <c r="IY43" s="10"/>
      <c r="IZ43" s="10"/>
      <c r="JA43" s="10"/>
      <c r="JB43" s="10"/>
      <c r="JC43" s="10"/>
      <c r="JD43" s="10"/>
      <c r="JE43" s="10"/>
      <c r="JF43" s="10"/>
      <c r="JG43" s="10"/>
      <c r="JH43" s="10"/>
      <c r="JI43" s="10"/>
      <c r="JJ43" s="10"/>
      <c r="JK43" s="10"/>
      <c r="JL43" s="10"/>
      <c r="JM43" s="10"/>
      <c r="JN43" s="10"/>
      <c r="JO43" s="10"/>
      <c r="JP43" s="10"/>
      <c r="JQ43" s="10"/>
      <c r="JR43" s="10"/>
      <c r="JS43" s="10"/>
      <c r="JT43" s="10"/>
      <c r="JU43" s="10"/>
      <c r="JV43" s="10"/>
      <c r="JW43" s="10"/>
      <c r="JX43" s="10"/>
      <c r="JY43" s="10"/>
      <c r="JZ43" s="10"/>
      <c r="KA43" s="10"/>
      <c r="KB43" s="10"/>
      <c r="KC43" s="10"/>
      <c r="KD43" s="10"/>
      <c r="KE43" s="10"/>
      <c r="KF43" s="10"/>
      <c r="KG43" s="10"/>
      <c r="KH43" s="10"/>
      <c r="KI43" s="10"/>
      <c r="KJ43" s="10"/>
      <c r="KK43" s="10"/>
    </row>
    <row r="44" spans="1:297" s="23" customFormat="1" x14ac:dyDescent="0.2">
      <c r="A44" s="5"/>
      <c r="B44" s="23" t="s">
        <v>50</v>
      </c>
      <c r="C44" s="23">
        <v>-1.4</v>
      </c>
      <c r="D44" s="23">
        <v>5</v>
      </c>
      <c r="E44" s="23">
        <v>0</v>
      </c>
      <c r="F44" s="23">
        <v>10</v>
      </c>
      <c r="H44" s="23">
        <v>100</v>
      </c>
      <c r="J44" s="23">
        <v>2.7699999999999999E-2</v>
      </c>
      <c r="K44" s="23">
        <v>1.9699999999999999E-2</v>
      </c>
      <c r="M44" s="6">
        <f t="shared" si="1"/>
        <v>0.122988</v>
      </c>
      <c r="N44" s="6">
        <f t="shared" si="1"/>
        <v>8.7468000000000004E-2</v>
      </c>
      <c r="P44" s="23">
        <f t="shared" si="2"/>
        <v>2.0870184965212967E-3</v>
      </c>
      <c r="Q44" s="23">
        <f t="shared" si="3"/>
        <v>1.4903390696881923E-3</v>
      </c>
      <c r="S44" s="24">
        <f t="shared" si="4"/>
        <v>1.4003648827095039</v>
      </c>
      <c r="T44" s="24"/>
      <c r="U44" s="24">
        <f t="shared" si="5"/>
        <v>58.339667139638728</v>
      </c>
      <c r="V44" s="25"/>
      <c r="W44" s="43">
        <f t="shared" si="6"/>
        <v>0.210456</v>
      </c>
      <c r="X44"/>
      <c r="Y44" s="42">
        <f t="shared" si="0"/>
        <v>3.577357566209489E-9</v>
      </c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 s="9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  <c r="HS44" s="10"/>
      <c r="HT44" s="10"/>
      <c r="HU44" s="10"/>
      <c r="HV44" s="10"/>
      <c r="HW44" s="10"/>
      <c r="HX44" s="10"/>
      <c r="HY44" s="10"/>
      <c r="HZ44" s="10"/>
      <c r="IA44" s="10"/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  <c r="IM44" s="10"/>
      <c r="IN44" s="10"/>
      <c r="IO44" s="10"/>
      <c r="IP44" s="10"/>
      <c r="IQ44" s="10"/>
      <c r="IR44" s="10"/>
      <c r="IS44" s="10"/>
      <c r="IT44" s="10"/>
      <c r="IU44" s="10"/>
      <c r="IV44" s="10"/>
      <c r="IW44" s="10"/>
      <c r="IX44" s="10"/>
      <c r="IY44" s="10"/>
      <c r="IZ44" s="10"/>
      <c r="JA44" s="10"/>
      <c r="JB44" s="10"/>
      <c r="JC44" s="10"/>
      <c r="JD44" s="10"/>
      <c r="JE44" s="10"/>
      <c r="JF44" s="10"/>
      <c r="JG44" s="10"/>
      <c r="JH44" s="10"/>
      <c r="JI44" s="10"/>
      <c r="JJ44" s="10"/>
      <c r="JK44" s="10"/>
      <c r="JL44" s="10"/>
      <c r="JM44" s="10"/>
      <c r="JN44" s="10"/>
      <c r="JO44" s="10"/>
      <c r="JP44" s="10"/>
      <c r="JQ44" s="10"/>
      <c r="JR44" s="10"/>
      <c r="JS44" s="10"/>
      <c r="JT44" s="10"/>
      <c r="JU44" s="10"/>
      <c r="JV44" s="10"/>
      <c r="JW44" s="10"/>
      <c r="JX44" s="10"/>
      <c r="JY44" s="10"/>
      <c r="JZ44" s="10"/>
      <c r="KA44" s="10"/>
      <c r="KB44" s="10"/>
      <c r="KC44" s="10"/>
      <c r="KD44" s="10"/>
      <c r="KE44" s="10"/>
      <c r="KF44" s="10"/>
      <c r="KG44" s="10"/>
      <c r="KH44" s="10"/>
      <c r="KI44" s="10"/>
      <c r="KJ44" s="10"/>
      <c r="KK44" s="10"/>
    </row>
    <row r="45" spans="1:297" s="23" customFormat="1" x14ac:dyDescent="0.2">
      <c r="A45" s="5"/>
      <c r="B45" s="23" t="s">
        <v>51</v>
      </c>
      <c r="C45" s="23">
        <v>-1.4</v>
      </c>
      <c r="D45" s="23">
        <v>10</v>
      </c>
      <c r="E45" s="23">
        <v>0</v>
      </c>
      <c r="F45" s="23">
        <v>10</v>
      </c>
      <c r="H45" s="23">
        <v>100</v>
      </c>
      <c r="J45" s="23">
        <v>2.4735</v>
      </c>
      <c r="K45" s="23">
        <v>1.3013999999999999</v>
      </c>
      <c r="M45" s="6">
        <f t="shared" si="1"/>
        <v>10.982340000000001</v>
      </c>
      <c r="N45" s="6">
        <f t="shared" si="1"/>
        <v>5.7782160000000005</v>
      </c>
      <c r="P45" s="23">
        <f t="shared" si="2"/>
        <v>0.18636246394026812</v>
      </c>
      <c r="Q45" s="23">
        <f t="shared" si="3"/>
        <v>9.8453160674731657E-2</v>
      </c>
      <c r="S45" s="24">
        <f t="shared" si="4"/>
        <v>1.8929048357926277</v>
      </c>
      <c r="T45" s="24"/>
      <c r="U45" s="24">
        <f t="shared" si="5"/>
        <v>65.432668657902482</v>
      </c>
      <c r="V45" s="25"/>
      <c r="W45" s="24">
        <f t="shared" si="6"/>
        <v>16.760556000000001</v>
      </c>
      <c r="X45"/>
      <c r="Y45">
        <f t="shared" si="0"/>
        <v>2.8481562461499975E-7</v>
      </c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 s="9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  <c r="HT45" s="10"/>
      <c r="HU45" s="10"/>
      <c r="HV45" s="10"/>
      <c r="HW45" s="10"/>
      <c r="HX45" s="10"/>
      <c r="HY45" s="10"/>
      <c r="HZ45" s="10"/>
      <c r="IA45" s="10"/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  <c r="IM45" s="10"/>
      <c r="IN45" s="10"/>
      <c r="IO45" s="10"/>
      <c r="IP45" s="10"/>
      <c r="IQ45" s="10"/>
      <c r="IR45" s="10"/>
      <c r="IS45" s="10"/>
      <c r="IT45" s="10"/>
      <c r="IU45" s="10"/>
      <c r="IV45" s="10"/>
      <c r="IW45" s="10"/>
      <c r="IX45" s="10"/>
      <c r="IY45" s="10"/>
      <c r="IZ45" s="10"/>
      <c r="JA45" s="10"/>
      <c r="JB45" s="10"/>
      <c r="JC45" s="10"/>
      <c r="JD45" s="10"/>
      <c r="JE45" s="10"/>
      <c r="JF45" s="10"/>
      <c r="JG45" s="10"/>
      <c r="JH45" s="10"/>
      <c r="JI45" s="10"/>
      <c r="JJ45" s="10"/>
      <c r="JK45" s="10"/>
      <c r="JL45" s="10"/>
      <c r="JM45" s="10"/>
      <c r="JN45" s="10"/>
      <c r="JO45" s="10"/>
      <c r="JP45" s="10"/>
      <c r="JQ45" s="10"/>
      <c r="JR45" s="10"/>
      <c r="JS45" s="10"/>
      <c r="JT45" s="10"/>
      <c r="JU45" s="10"/>
      <c r="JV45" s="10"/>
      <c r="JW45" s="10"/>
      <c r="JX45" s="10"/>
      <c r="JY45" s="10"/>
      <c r="JZ45" s="10"/>
      <c r="KA45" s="10"/>
      <c r="KB45" s="10"/>
      <c r="KC45" s="10"/>
      <c r="KD45" s="10"/>
      <c r="KE45" s="10"/>
      <c r="KF45" s="10"/>
      <c r="KG45" s="10"/>
      <c r="KH45" s="10"/>
      <c r="KI45" s="10"/>
      <c r="KJ45" s="10"/>
      <c r="KK45" s="10"/>
    </row>
    <row r="46" spans="1:297" s="23" customFormat="1" x14ac:dyDescent="0.2">
      <c r="A46" s="5"/>
      <c r="B46" s="23" t="s">
        <v>52</v>
      </c>
      <c r="C46" s="23">
        <v>-1.4</v>
      </c>
      <c r="D46" s="23">
        <v>25</v>
      </c>
      <c r="E46" s="23">
        <v>0</v>
      </c>
      <c r="F46" s="23">
        <v>10</v>
      </c>
      <c r="H46" s="23">
        <v>50</v>
      </c>
      <c r="J46" s="23">
        <v>2.2787999999999999</v>
      </c>
      <c r="K46" s="23">
        <v>2.1591999999999998</v>
      </c>
      <c r="M46" s="6">
        <f t="shared" si="1"/>
        <v>10.117872</v>
      </c>
      <c r="N46" s="6">
        <f t="shared" si="1"/>
        <v>9.5868479999999998</v>
      </c>
      <c r="P46" s="23">
        <f t="shared" si="2"/>
        <v>0.17169305956219244</v>
      </c>
      <c r="Q46" s="23">
        <f t="shared" si="3"/>
        <v>0.16334721417617992</v>
      </c>
      <c r="S46" s="24">
        <f t="shared" si="4"/>
        <v>1.0510926704694885</v>
      </c>
      <c r="T46" s="24"/>
      <c r="U46" s="24">
        <f t="shared" si="5"/>
        <v>51.24549883106436</v>
      </c>
      <c r="V46" s="25"/>
      <c r="W46" s="24">
        <f t="shared" si="6"/>
        <v>19.704720000000002</v>
      </c>
      <c r="X46"/>
      <c r="Y46">
        <f t="shared" si="0"/>
        <v>3.3504027373837238E-7</v>
      </c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 s="9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  <c r="HT46" s="10"/>
      <c r="HU46" s="10"/>
      <c r="HV46" s="10"/>
      <c r="HW46" s="10"/>
      <c r="HX46" s="10"/>
      <c r="HY46" s="10"/>
      <c r="HZ46" s="10"/>
      <c r="IA46" s="10"/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  <c r="IM46" s="10"/>
      <c r="IN46" s="10"/>
      <c r="IO46" s="10"/>
      <c r="IP46" s="10"/>
      <c r="IQ46" s="10"/>
      <c r="IR46" s="10"/>
      <c r="IS46" s="10"/>
      <c r="IT46" s="10"/>
      <c r="IU46" s="10"/>
      <c r="IV46" s="10"/>
      <c r="IW46" s="10"/>
      <c r="IX46" s="10"/>
      <c r="IY46" s="10"/>
      <c r="IZ46" s="10"/>
      <c r="JA46" s="10"/>
      <c r="JB46" s="10"/>
      <c r="JC46" s="10"/>
      <c r="JD46" s="10"/>
      <c r="JE46" s="10"/>
      <c r="JF46" s="10"/>
      <c r="JG46" s="10"/>
      <c r="JH46" s="10"/>
      <c r="JI46" s="10"/>
      <c r="JJ46" s="10"/>
      <c r="JK46" s="10"/>
      <c r="JL46" s="10"/>
      <c r="JM46" s="10"/>
      <c r="JN46" s="10"/>
      <c r="JO46" s="10"/>
      <c r="JP46" s="10"/>
      <c r="JQ46" s="10"/>
      <c r="JR46" s="10"/>
      <c r="JS46" s="10"/>
      <c r="JT46" s="10"/>
      <c r="JU46" s="10"/>
      <c r="JV46" s="10"/>
      <c r="JW46" s="10"/>
      <c r="JX46" s="10"/>
      <c r="JY46" s="10"/>
      <c r="JZ46" s="10"/>
      <c r="KA46" s="10"/>
      <c r="KB46" s="10"/>
      <c r="KC46" s="10"/>
      <c r="KD46" s="10"/>
      <c r="KE46" s="10"/>
      <c r="KF46" s="10"/>
      <c r="KG46" s="10"/>
      <c r="KH46" s="10"/>
      <c r="KI46" s="10"/>
      <c r="KJ46" s="10"/>
      <c r="KK46" s="10"/>
    </row>
    <row r="47" spans="1:297" s="23" customFormat="1" x14ac:dyDescent="0.2">
      <c r="A47" s="5"/>
      <c r="B47" s="23" t="s">
        <v>53</v>
      </c>
      <c r="C47" s="23">
        <v>-1.4</v>
      </c>
      <c r="D47" s="23">
        <v>50</v>
      </c>
      <c r="E47" s="23">
        <v>0</v>
      </c>
      <c r="F47" s="23">
        <v>10</v>
      </c>
      <c r="H47" s="23">
        <v>50</v>
      </c>
      <c r="J47" s="23">
        <v>2.3414000000000001</v>
      </c>
      <c r="K47" s="23">
        <v>2.2637999999999998</v>
      </c>
      <c r="M47" s="6">
        <f t="shared" si="1"/>
        <v>10.395816000000002</v>
      </c>
      <c r="N47" s="6">
        <f t="shared" si="1"/>
        <v>10.051272000000001</v>
      </c>
      <c r="P47" s="23">
        <f t="shared" si="2"/>
        <v>0.17640957067707452</v>
      </c>
      <c r="Q47" s="23">
        <f t="shared" si="3"/>
        <v>0.17126038507411828</v>
      </c>
      <c r="S47" s="24">
        <f t="shared" si="4"/>
        <v>1.0300664137869815</v>
      </c>
      <c r="T47" s="24"/>
      <c r="U47" s="24">
        <f t="shared" si="5"/>
        <v>50.740527836498082</v>
      </c>
      <c r="V47" s="25"/>
      <c r="W47" s="24">
        <f t="shared" si="6"/>
        <v>20.447088000000001</v>
      </c>
      <c r="X47"/>
      <c r="Y47">
        <f t="shared" si="0"/>
        <v>3.476699557511928E-7</v>
      </c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 s="9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  <c r="HE47" s="10"/>
      <c r="HF47" s="10"/>
      <c r="HG47" s="10"/>
      <c r="HH47" s="10"/>
      <c r="HI47" s="10"/>
      <c r="HJ47" s="10"/>
      <c r="HK47" s="10"/>
      <c r="HL47" s="10"/>
      <c r="HM47" s="10"/>
      <c r="HN47" s="10"/>
      <c r="HO47" s="10"/>
      <c r="HP47" s="10"/>
      <c r="HQ47" s="10"/>
      <c r="HR47" s="10"/>
      <c r="HS47" s="10"/>
      <c r="HT47" s="10"/>
      <c r="HU47" s="10"/>
      <c r="HV47" s="10"/>
      <c r="HW47" s="10"/>
      <c r="HX47" s="10"/>
      <c r="HY47" s="10"/>
      <c r="HZ47" s="10"/>
      <c r="IA47" s="10"/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  <c r="IM47" s="10"/>
      <c r="IN47" s="10"/>
      <c r="IO47" s="10"/>
      <c r="IP47" s="10"/>
      <c r="IQ47" s="10"/>
      <c r="IR47" s="10"/>
      <c r="IS47" s="10"/>
      <c r="IT47" s="10"/>
      <c r="IU47" s="10"/>
      <c r="IV47" s="10"/>
      <c r="IW47" s="10"/>
      <c r="IX47" s="10"/>
      <c r="IY47" s="10"/>
      <c r="IZ47" s="10"/>
      <c r="JA47" s="10"/>
      <c r="JB47" s="10"/>
      <c r="JC47" s="10"/>
      <c r="JD47" s="10"/>
      <c r="JE47" s="10"/>
      <c r="JF47" s="10"/>
      <c r="JG47" s="10"/>
      <c r="JH47" s="10"/>
      <c r="JI47" s="10"/>
      <c r="JJ47" s="10"/>
      <c r="JK47" s="10"/>
      <c r="JL47" s="10"/>
      <c r="JM47" s="10"/>
      <c r="JN47" s="10"/>
      <c r="JO47" s="10"/>
      <c r="JP47" s="10"/>
      <c r="JQ47" s="10"/>
      <c r="JR47" s="10"/>
      <c r="JS47" s="10"/>
      <c r="JT47" s="10"/>
      <c r="JU47" s="10"/>
      <c r="JV47" s="10"/>
      <c r="JW47" s="10"/>
      <c r="JX47" s="10"/>
      <c r="JY47" s="10"/>
      <c r="JZ47" s="10"/>
      <c r="KA47" s="10"/>
      <c r="KB47" s="10"/>
      <c r="KC47" s="10"/>
      <c r="KD47" s="10"/>
      <c r="KE47" s="10"/>
      <c r="KF47" s="10"/>
      <c r="KG47" s="10"/>
      <c r="KH47" s="10"/>
      <c r="KI47" s="10"/>
      <c r="KJ47" s="10"/>
      <c r="KK47" s="10"/>
    </row>
    <row r="48" spans="1:297" s="23" customFormat="1" x14ac:dyDescent="0.2">
      <c r="A48" s="5"/>
      <c r="B48" s="23" t="s">
        <v>54</v>
      </c>
      <c r="C48" s="23">
        <v>-1.4</v>
      </c>
      <c r="D48" s="23">
        <v>100</v>
      </c>
      <c r="E48" s="23">
        <v>0</v>
      </c>
      <c r="F48" s="23">
        <v>10</v>
      </c>
      <c r="H48" s="23">
        <v>50</v>
      </c>
      <c r="J48" s="23">
        <v>2.2025000000000001</v>
      </c>
      <c r="K48" s="23">
        <v>2.1604000000000001</v>
      </c>
      <c r="M48" s="6">
        <f t="shared" si="1"/>
        <v>9.7791000000000015</v>
      </c>
      <c r="N48" s="6">
        <f t="shared" si="1"/>
        <v>9.592176000000002</v>
      </c>
      <c r="P48" s="23">
        <f t="shared" si="2"/>
        <v>0.16594434074325473</v>
      </c>
      <c r="Q48" s="23">
        <f t="shared" si="3"/>
        <v>0.16343799625149091</v>
      </c>
      <c r="S48" s="24">
        <f t="shared" si="4"/>
        <v>1.015335139620209</v>
      </c>
      <c r="T48" s="24"/>
      <c r="U48" s="24">
        <f t="shared" si="5"/>
        <v>50.380461277103002</v>
      </c>
      <c r="V48" s="25"/>
      <c r="W48" s="24">
        <f t="shared" si="6"/>
        <v>19.371276000000002</v>
      </c>
      <c r="X48"/>
      <c r="Y48">
        <f t="shared" si="0"/>
        <v>3.293823369947456E-7</v>
      </c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 s="9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  <c r="HE48" s="10"/>
      <c r="HF48" s="10"/>
      <c r="HG48" s="10"/>
      <c r="HH48" s="10"/>
      <c r="HI48" s="10"/>
      <c r="HJ48" s="10"/>
      <c r="HK48" s="10"/>
      <c r="HL48" s="10"/>
      <c r="HM48" s="10"/>
      <c r="HN48" s="10"/>
      <c r="HO48" s="10"/>
      <c r="HP48" s="10"/>
      <c r="HQ48" s="10"/>
      <c r="HR48" s="10"/>
      <c r="HS48" s="10"/>
      <c r="HT48" s="10"/>
      <c r="HU48" s="10"/>
      <c r="HV48" s="10"/>
      <c r="HW48" s="10"/>
      <c r="HX48" s="10"/>
      <c r="HY48" s="10"/>
      <c r="HZ48" s="10"/>
      <c r="IA48" s="10"/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  <c r="IM48" s="10"/>
      <c r="IN48" s="10"/>
      <c r="IO48" s="10"/>
      <c r="IP48" s="10"/>
      <c r="IQ48" s="10"/>
      <c r="IR48" s="10"/>
      <c r="IS48" s="10"/>
      <c r="IT48" s="10"/>
      <c r="IU48" s="10"/>
      <c r="IV48" s="10"/>
      <c r="IW48" s="10"/>
      <c r="IX48" s="10"/>
      <c r="IY48" s="10"/>
      <c r="IZ48" s="10"/>
      <c r="JA48" s="10"/>
      <c r="JB48" s="10"/>
      <c r="JC48" s="10"/>
      <c r="JD48" s="10"/>
      <c r="JE48" s="10"/>
      <c r="JF48" s="10"/>
      <c r="JG48" s="10"/>
      <c r="JH48" s="10"/>
      <c r="JI48" s="10"/>
      <c r="JJ48" s="10"/>
      <c r="JK48" s="10"/>
      <c r="JL48" s="10"/>
      <c r="JM48" s="10"/>
      <c r="JN48" s="10"/>
      <c r="JO48" s="10"/>
      <c r="JP48" s="10"/>
      <c r="JQ48" s="10"/>
      <c r="JR48" s="10"/>
      <c r="JS48" s="10"/>
      <c r="JT48" s="10"/>
      <c r="JU48" s="10"/>
      <c r="JV48" s="10"/>
      <c r="JW48" s="10"/>
      <c r="JX48" s="10"/>
      <c r="JY48" s="10"/>
      <c r="JZ48" s="10"/>
      <c r="KA48" s="10"/>
      <c r="KB48" s="10"/>
      <c r="KC48" s="10"/>
      <c r="KD48" s="10"/>
      <c r="KE48" s="10"/>
      <c r="KF48" s="10"/>
      <c r="KG48" s="10"/>
      <c r="KH48" s="10"/>
      <c r="KI48" s="10"/>
      <c r="KJ48" s="10"/>
      <c r="KK48" s="10"/>
    </row>
    <row r="49" spans="1:297" s="23" customFormat="1" x14ac:dyDescent="0.2">
      <c r="A49" s="5"/>
      <c r="B49" s="23" t="s">
        <v>55</v>
      </c>
      <c r="C49" s="23">
        <v>-1.4</v>
      </c>
      <c r="D49" s="23">
        <v>250</v>
      </c>
      <c r="E49" s="23">
        <v>0</v>
      </c>
      <c r="F49" s="23">
        <v>10</v>
      </c>
      <c r="H49" s="23">
        <v>50</v>
      </c>
      <c r="J49" s="23">
        <v>2.3287</v>
      </c>
      <c r="K49" s="23">
        <v>2.2690999999999999</v>
      </c>
      <c r="M49" s="6">
        <f t="shared" si="1"/>
        <v>10.339428000000002</v>
      </c>
      <c r="N49" s="6">
        <f t="shared" si="1"/>
        <v>10.074804</v>
      </c>
      <c r="P49" s="23">
        <f t="shared" si="2"/>
        <v>0.17545270660105211</v>
      </c>
      <c r="Q49" s="23">
        <f t="shared" si="3"/>
        <v>0.17166133924007498</v>
      </c>
      <c r="S49" s="24">
        <f t="shared" si="4"/>
        <v>1.0220863205294859</v>
      </c>
      <c r="T49" s="24"/>
      <c r="U49" s="24">
        <f t="shared" si="5"/>
        <v>50.546127044756986</v>
      </c>
      <c r="V49" s="25"/>
      <c r="W49" s="24">
        <f t="shared" si="6"/>
        <v>20.414232000000002</v>
      </c>
      <c r="X49"/>
      <c r="Y49">
        <f t="shared" si="0"/>
        <v>3.4711404584112711E-7</v>
      </c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 s="9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10"/>
      <c r="GX49" s="10"/>
      <c r="GY49" s="10"/>
      <c r="GZ49" s="10"/>
      <c r="HA49" s="10"/>
      <c r="HB49" s="10"/>
      <c r="HC49" s="10"/>
      <c r="HD49" s="10"/>
      <c r="HE49" s="10"/>
      <c r="HF49" s="10"/>
      <c r="HG49" s="10"/>
      <c r="HH49" s="10"/>
      <c r="HI49" s="10"/>
      <c r="HJ49" s="10"/>
      <c r="HK49" s="10"/>
      <c r="HL49" s="10"/>
      <c r="HM49" s="10"/>
      <c r="HN49" s="10"/>
      <c r="HO49" s="10"/>
      <c r="HP49" s="10"/>
      <c r="HQ49" s="10"/>
      <c r="HR49" s="10"/>
      <c r="HS49" s="10"/>
      <c r="HT49" s="10"/>
      <c r="HU49" s="10"/>
      <c r="HV49" s="10"/>
      <c r="HW49" s="10"/>
      <c r="HX49" s="10"/>
      <c r="HY49" s="10"/>
      <c r="HZ49" s="10"/>
      <c r="IA49" s="10"/>
      <c r="IB49" s="10"/>
      <c r="IC49" s="10"/>
      <c r="ID49" s="10"/>
      <c r="IE49" s="10"/>
      <c r="IF49" s="10"/>
      <c r="IG49" s="10"/>
      <c r="IH49" s="10"/>
      <c r="II49" s="10"/>
      <c r="IJ49" s="10"/>
      <c r="IK49" s="10"/>
      <c r="IL49" s="10"/>
      <c r="IM49" s="10"/>
      <c r="IN49" s="10"/>
      <c r="IO49" s="10"/>
      <c r="IP49" s="10"/>
      <c r="IQ49" s="10"/>
      <c r="IR49" s="10"/>
      <c r="IS49" s="10"/>
      <c r="IT49" s="10"/>
      <c r="IU49" s="10"/>
      <c r="IV49" s="10"/>
      <c r="IW49" s="10"/>
      <c r="IX49" s="10"/>
      <c r="IY49" s="10"/>
      <c r="IZ49" s="10"/>
      <c r="JA49" s="10"/>
      <c r="JB49" s="10"/>
      <c r="JC49" s="10"/>
      <c r="JD49" s="10"/>
      <c r="JE49" s="10"/>
      <c r="JF49" s="10"/>
      <c r="JG49" s="10"/>
      <c r="JH49" s="10"/>
      <c r="JI49" s="10"/>
      <c r="JJ49" s="10"/>
      <c r="JK49" s="10"/>
      <c r="JL49" s="10"/>
      <c r="JM49" s="10"/>
      <c r="JN49" s="10"/>
      <c r="JO49" s="10"/>
      <c r="JP49" s="10"/>
      <c r="JQ49" s="10"/>
      <c r="JR49" s="10"/>
      <c r="JS49" s="10"/>
      <c r="JT49" s="10"/>
      <c r="JU49" s="10"/>
      <c r="JV49" s="10"/>
      <c r="JW49" s="10"/>
      <c r="JX49" s="10"/>
      <c r="JY49" s="10"/>
      <c r="JZ49" s="10"/>
      <c r="KA49" s="10"/>
      <c r="KB49" s="10"/>
      <c r="KC49" s="10"/>
      <c r="KD49" s="10"/>
      <c r="KE49" s="10"/>
      <c r="KF49" s="10"/>
      <c r="KG49" s="10"/>
      <c r="KH49" s="10"/>
      <c r="KI49" s="10"/>
      <c r="KJ49" s="10"/>
      <c r="KK49" s="10"/>
    </row>
    <row r="50" spans="1:297" s="23" customFormat="1" x14ac:dyDescent="0.2">
      <c r="A50" s="5"/>
      <c r="B50" s="23" t="s">
        <v>56</v>
      </c>
      <c r="C50" s="23">
        <v>-1.4</v>
      </c>
      <c r="D50" s="23">
        <v>500</v>
      </c>
      <c r="E50" s="23">
        <v>0</v>
      </c>
      <c r="F50" s="23">
        <v>10</v>
      </c>
      <c r="H50" s="23">
        <v>50</v>
      </c>
      <c r="J50" s="23">
        <v>2.1604999999999999</v>
      </c>
      <c r="K50" s="23">
        <v>2.0062000000000002</v>
      </c>
      <c r="M50" s="6">
        <f t="shared" si="1"/>
        <v>9.5926200000000001</v>
      </c>
      <c r="N50" s="6">
        <f t="shared" si="1"/>
        <v>8.907528000000001</v>
      </c>
      <c r="P50" s="23">
        <f t="shared" si="2"/>
        <v>0.16277990836585779</v>
      </c>
      <c r="Q50" s="23">
        <f t="shared" si="3"/>
        <v>0.15177249957403308</v>
      </c>
      <c r="S50" s="24">
        <f t="shared" si="4"/>
        <v>1.0725257133058905</v>
      </c>
      <c r="T50" s="24"/>
      <c r="U50" s="24">
        <f t="shared" si="5"/>
        <v>51.749693932390464</v>
      </c>
      <c r="V50" s="25"/>
      <c r="W50" s="24">
        <f t="shared" si="6"/>
        <v>18.500148000000003</v>
      </c>
      <c r="X50"/>
      <c r="Y50">
        <f t="shared" si="0"/>
        <v>3.1455240793989086E-7</v>
      </c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 s="9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  <c r="HT50" s="10"/>
      <c r="HU50" s="10"/>
      <c r="HV50" s="10"/>
      <c r="HW50" s="10"/>
      <c r="HX50" s="10"/>
      <c r="HY50" s="10"/>
      <c r="HZ50" s="10"/>
      <c r="IA50" s="10"/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  <c r="IM50" s="10"/>
      <c r="IN50" s="10"/>
      <c r="IO50" s="10"/>
      <c r="IP50" s="10"/>
      <c r="IQ50" s="10"/>
      <c r="IR50" s="10"/>
      <c r="IS50" s="10"/>
      <c r="IT50" s="10"/>
      <c r="IU50" s="10"/>
      <c r="IV50" s="10"/>
      <c r="IW50" s="10"/>
      <c r="IX50" s="10"/>
      <c r="IY50" s="10"/>
      <c r="IZ50" s="10"/>
      <c r="JA50" s="10"/>
      <c r="JB50" s="10"/>
      <c r="JC50" s="10"/>
      <c r="JD50" s="10"/>
      <c r="JE50" s="10"/>
      <c r="JF50" s="10"/>
      <c r="JG50" s="10"/>
      <c r="JH50" s="10"/>
      <c r="JI50" s="10"/>
      <c r="JJ50" s="10"/>
      <c r="JK50" s="10"/>
      <c r="JL50" s="10"/>
      <c r="JM50" s="10"/>
      <c r="JN50" s="10"/>
      <c r="JO50" s="10"/>
      <c r="JP50" s="10"/>
      <c r="JQ50" s="10"/>
      <c r="JR50" s="10"/>
      <c r="JS50" s="10"/>
      <c r="JT50" s="10"/>
      <c r="JU50" s="10"/>
      <c r="JV50" s="10"/>
      <c r="JW50" s="10"/>
      <c r="JX50" s="10"/>
      <c r="JY50" s="10"/>
      <c r="JZ50" s="10"/>
      <c r="KA50" s="10"/>
      <c r="KB50" s="10"/>
      <c r="KC50" s="10"/>
      <c r="KD50" s="10"/>
      <c r="KE50" s="10"/>
      <c r="KF50" s="10"/>
      <c r="KG50" s="10"/>
      <c r="KH50" s="10"/>
      <c r="KI50" s="10"/>
      <c r="KJ50" s="10"/>
      <c r="KK50" s="10"/>
    </row>
    <row r="51" spans="1:297" s="23" customFormat="1" x14ac:dyDescent="0.2">
      <c r="A51" s="5"/>
      <c r="B51" s="23" t="s">
        <v>57</v>
      </c>
      <c r="C51" s="23">
        <v>-1.4</v>
      </c>
      <c r="D51" s="23">
        <v>1000</v>
      </c>
      <c r="E51" s="23">
        <v>0</v>
      </c>
      <c r="F51" s="23">
        <v>10</v>
      </c>
      <c r="H51" s="23">
        <v>50</v>
      </c>
      <c r="J51" s="23">
        <v>2.2763</v>
      </c>
      <c r="K51" s="23">
        <v>2.0868000000000002</v>
      </c>
      <c r="M51" s="6">
        <f t="shared" si="1"/>
        <v>10.106772000000001</v>
      </c>
      <c r="N51" s="6">
        <f t="shared" si="1"/>
        <v>9.2653920000000021</v>
      </c>
      <c r="P51" s="23">
        <f t="shared" si="2"/>
        <v>0.17150470049210931</v>
      </c>
      <c r="Q51" s="23">
        <f t="shared" si="3"/>
        <v>0.15787002896575231</v>
      </c>
      <c r="S51" s="24">
        <f t="shared" si="4"/>
        <v>1.0863664345644406</v>
      </c>
      <c r="T51" s="24"/>
      <c r="U51" s="24">
        <f t="shared" si="5"/>
        <v>52.069781058917172</v>
      </c>
      <c r="V51" s="25"/>
      <c r="W51" s="24">
        <f t="shared" si="6"/>
        <v>19.372164000000005</v>
      </c>
      <c r="X51"/>
      <c r="Y51">
        <f t="shared" si="0"/>
        <v>3.2937472945786164E-7</v>
      </c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 s="9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  <c r="HE51" s="10"/>
      <c r="HF51" s="10"/>
      <c r="HG51" s="10"/>
      <c r="HH51" s="10"/>
      <c r="HI51" s="10"/>
      <c r="HJ51" s="10"/>
      <c r="HK51" s="10"/>
      <c r="HL51" s="10"/>
      <c r="HM51" s="10"/>
      <c r="HN51" s="10"/>
      <c r="HO51" s="10"/>
      <c r="HP51" s="10"/>
      <c r="HQ51" s="10"/>
      <c r="HR51" s="10"/>
      <c r="HS51" s="10"/>
      <c r="HT51" s="10"/>
      <c r="HU51" s="10"/>
      <c r="HV51" s="10"/>
      <c r="HW51" s="10"/>
      <c r="HX51" s="10"/>
      <c r="HY51" s="10"/>
      <c r="HZ51" s="10"/>
      <c r="IA51" s="10"/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  <c r="IM51" s="10"/>
      <c r="IN51" s="10"/>
      <c r="IO51" s="10"/>
      <c r="IP51" s="10"/>
      <c r="IQ51" s="10"/>
      <c r="IR51" s="10"/>
      <c r="IS51" s="10"/>
      <c r="IT51" s="10"/>
      <c r="IU51" s="10"/>
      <c r="IV51" s="10"/>
      <c r="IW51" s="10"/>
      <c r="IX51" s="10"/>
      <c r="IY51" s="10"/>
      <c r="IZ51" s="10"/>
      <c r="JA51" s="10"/>
      <c r="JB51" s="10"/>
      <c r="JC51" s="10"/>
      <c r="JD51" s="10"/>
      <c r="JE51" s="10"/>
      <c r="JF51" s="10"/>
      <c r="JG51" s="10"/>
      <c r="JH51" s="10"/>
      <c r="JI51" s="10"/>
      <c r="JJ51" s="10"/>
      <c r="JK51" s="10"/>
      <c r="JL51" s="10"/>
      <c r="JM51" s="10"/>
      <c r="JN51" s="10"/>
      <c r="JO51" s="10"/>
      <c r="JP51" s="10"/>
      <c r="JQ51" s="10"/>
      <c r="JR51" s="10"/>
      <c r="JS51" s="10"/>
      <c r="JT51" s="10"/>
      <c r="JU51" s="10"/>
      <c r="JV51" s="10"/>
      <c r="JW51" s="10"/>
      <c r="JX51" s="10"/>
      <c r="JY51" s="10"/>
      <c r="JZ51" s="10"/>
      <c r="KA51" s="10"/>
      <c r="KB51" s="10"/>
      <c r="KC51" s="10"/>
      <c r="KD51" s="10"/>
      <c r="KE51" s="10"/>
      <c r="KF51" s="10"/>
      <c r="KG51" s="10"/>
      <c r="KH51" s="10"/>
      <c r="KI51" s="10"/>
      <c r="KJ51" s="10"/>
      <c r="KK51" s="10"/>
    </row>
    <row r="52" spans="1:297" s="26" customFormat="1" x14ac:dyDescent="0.2">
      <c r="A52" s="5"/>
      <c r="B52" s="26" t="s">
        <v>58</v>
      </c>
      <c r="C52" s="26">
        <v>-1.5</v>
      </c>
      <c r="D52" s="26">
        <v>5</v>
      </c>
      <c r="E52" s="26">
        <v>0</v>
      </c>
      <c r="F52" s="26">
        <v>10</v>
      </c>
      <c r="H52" s="26">
        <v>50</v>
      </c>
      <c r="J52" s="26">
        <v>8.0399999999999999E-2</v>
      </c>
      <c r="K52" s="26">
        <v>5.7599999999999998E-2</v>
      </c>
      <c r="M52" s="6">
        <f t="shared" si="1"/>
        <v>0.35697600000000002</v>
      </c>
      <c r="N52" s="6">
        <f t="shared" si="1"/>
        <v>0.25574400000000003</v>
      </c>
      <c r="P52" s="26">
        <f t="shared" si="2"/>
        <v>6.0576276938740879E-3</v>
      </c>
      <c r="Q52" s="26">
        <f t="shared" si="3"/>
        <v>4.3575396149258825E-3</v>
      </c>
      <c r="S52" s="27">
        <f t="shared" si="4"/>
        <v>1.3901486226596524</v>
      </c>
      <c r="T52" s="27"/>
      <c r="U52" s="27">
        <f t="shared" si="5"/>
        <v>58.161597545877967</v>
      </c>
      <c r="V52" s="28"/>
      <c r="W52" s="28">
        <f t="shared" ref="W52:W66" si="7">M52+N52</f>
        <v>0.61272000000000004</v>
      </c>
      <c r="X52"/>
      <c r="Y52" s="42">
        <f t="shared" si="0"/>
        <v>1.0415167308799971E-8</v>
      </c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 s="9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  <c r="GP52" s="10"/>
      <c r="GQ52" s="10"/>
      <c r="GR52" s="10"/>
      <c r="GS52" s="10"/>
      <c r="GT52" s="10"/>
      <c r="GU52" s="10"/>
      <c r="GV52" s="10"/>
      <c r="GW52" s="10"/>
      <c r="GX52" s="10"/>
      <c r="GY52" s="10"/>
      <c r="GZ52" s="10"/>
      <c r="HA52" s="10"/>
      <c r="HB52" s="10"/>
      <c r="HC52" s="10"/>
      <c r="HD52" s="10"/>
      <c r="HE52" s="10"/>
      <c r="HF52" s="10"/>
      <c r="HG52" s="10"/>
      <c r="HH52" s="10"/>
      <c r="HI52" s="10"/>
      <c r="HJ52" s="10"/>
      <c r="HK52" s="10"/>
      <c r="HL52" s="10"/>
      <c r="HM52" s="10"/>
      <c r="HN52" s="10"/>
      <c r="HO52" s="10"/>
      <c r="HP52" s="10"/>
      <c r="HQ52" s="10"/>
      <c r="HR52" s="10"/>
      <c r="HS52" s="10"/>
      <c r="HT52" s="10"/>
      <c r="HU52" s="10"/>
      <c r="HV52" s="10"/>
      <c r="HW52" s="10"/>
      <c r="HX52" s="10"/>
      <c r="HY52" s="10"/>
      <c r="HZ52" s="10"/>
      <c r="IA52" s="10"/>
      <c r="IB52" s="10"/>
      <c r="IC52" s="10"/>
      <c r="ID52" s="10"/>
      <c r="IE52" s="10"/>
      <c r="IF52" s="10"/>
      <c r="IG52" s="10"/>
      <c r="IH52" s="10"/>
      <c r="II52" s="10"/>
      <c r="IJ52" s="10"/>
      <c r="IK52" s="10"/>
      <c r="IL52" s="10"/>
      <c r="IM52" s="10"/>
      <c r="IN52" s="10"/>
      <c r="IO52" s="10"/>
      <c r="IP52" s="10"/>
      <c r="IQ52" s="10"/>
      <c r="IR52" s="10"/>
      <c r="IS52" s="10"/>
      <c r="IT52" s="10"/>
      <c r="IU52" s="10"/>
      <c r="IV52" s="10"/>
      <c r="IW52" s="10"/>
      <c r="IX52" s="10"/>
      <c r="IY52" s="10"/>
      <c r="IZ52" s="10"/>
      <c r="JA52" s="10"/>
      <c r="JB52" s="10"/>
      <c r="JC52" s="10"/>
      <c r="JD52" s="10"/>
      <c r="JE52" s="10"/>
      <c r="JF52" s="10"/>
      <c r="JG52" s="10"/>
      <c r="JH52" s="10"/>
      <c r="JI52" s="10"/>
      <c r="JJ52" s="10"/>
      <c r="JK52" s="10"/>
      <c r="JL52" s="10"/>
      <c r="JM52" s="10"/>
      <c r="JN52" s="10"/>
      <c r="JO52" s="10"/>
      <c r="JP52" s="10"/>
      <c r="JQ52" s="10"/>
      <c r="JR52" s="10"/>
      <c r="JS52" s="10"/>
      <c r="JT52" s="10"/>
      <c r="JU52" s="10"/>
      <c r="JV52" s="10"/>
      <c r="JW52" s="10"/>
      <c r="JX52" s="10"/>
      <c r="JY52" s="10"/>
      <c r="JZ52" s="10"/>
      <c r="KA52" s="10"/>
      <c r="KB52" s="10"/>
      <c r="KC52" s="10"/>
      <c r="KD52" s="10"/>
      <c r="KE52" s="10"/>
      <c r="KF52" s="10"/>
      <c r="KG52" s="10"/>
      <c r="KH52" s="10"/>
      <c r="KI52" s="10"/>
      <c r="KJ52" s="10"/>
      <c r="KK52" s="10"/>
    </row>
    <row r="53" spans="1:297" s="26" customFormat="1" x14ac:dyDescent="0.2">
      <c r="A53" s="5"/>
      <c r="B53" s="26" t="s">
        <v>59</v>
      </c>
      <c r="C53" s="26">
        <v>-1.5</v>
      </c>
      <c r="D53" s="26">
        <v>10</v>
      </c>
      <c r="E53" s="26">
        <v>0</v>
      </c>
      <c r="F53" s="26">
        <v>10</v>
      </c>
      <c r="H53" s="26">
        <v>50</v>
      </c>
      <c r="J53" s="26">
        <v>1.8624000000000001</v>
      </c>
      <c r="K53" s="26">
        <v>1.1875</v>
      </c>
      <c r="M53" s="6">
        <f t="shared" si="1"/>
        <v>8.2690560000000009</v>
      </c>
      <c r="N53" s="6">
        <f t="shared" si="1"/>
        <v>5.2725000000000009</v>
      </c>
      <c r="P53" s="26">
        <f t="shared" si="2"/>
        <v>0.14031997284914308</v>
      </c>
      <c r="Q53" s="26">
        <f t="shared" si="3"/>
        <v>8.9836428693133435E-2</v>
      </c>
      <c r="S53" s="27">
        <f t="shared" si="4"/>
        <v>1.5619495887181043</v>
      </c>
      <c r="T53" s="27"/>
      <c r="U53" s="27">
        <f t="shared" si="5"/>
        <v>60.967225725141631</v>
      </c>
      <c r="V53" s="28"/>
      <c r="W53" s="27">
        <f t="shared" si="7"/>
        <v>13.541556000000002</v>
      </c>
      <c r="X53"/>
      <c r="Y53">
        <f t="shared" si="0"/>
        <v>2.3015640154227651E-7</v>
      </c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 s="9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0"/>
      <c r="GD53" s="10"/>
      <c r="GE53" s="10"/>
      <c r="GF53" s="10"/>
      <c r="GG53" s="10"/>
      <c r="GH53" s="10"/>
      <c r="GI53" s="10"/>
      <c r="GJ53" s="10"/>
      <c r="GK53" s="10"/>
      <c r="GL53" s="10"/>
      <c r="GM53" s="10"/>
      <c r="GN53" s="10"/>
      <c r="GO53" s="10"/>
      <c r="GP53" s="10"/>
      <c r="GQ53" s="10"/>
      <c r="GR53" s="10"/>
      <c r="GS53" s="10"/>
      <c r="GT53" s="10"/>
      <c r="GU53" s="10"/>
      <c r="GV53" s="10"/>
      <c r="GW53" s="10"/>
      <c r="GX53" s="10"/>
      <c r="GY53" s="10"/>
      <c r="GZ53" s="10"/>
      <c r="HA53" s="10"/>
      <c r="HB53" s="10"/>
      <c r="HC53" s="10"/>
      <c r="HD53" s="10"/>
      <c r="HE53" s="10"/>
      <c r="HF53" s="10"/>
      <c r="HG53" s="10"/>
      <c r="HH53" s="10"/>
      <c r="HI53" s="10"/>
      <c r="HJ53" s="10"/>
      <c r="HK53" s="10"/>
      <c r="HL53" s="10"/>
      <c r="HM53" s="10"/>
      <c r="HN53" s="10"/>
      <c r="HO53" s="10"/>
      <c r="HP53" s="10"/>
      <c r="HQ53" s="10"/>
      <c r="HR53" s="10"/>
      <c r="HS53" s="10"/>
      <c r="HT53" s="10"/>
      <c r="HU53" s="10"/>
      <c r="HV53" s="10"/>
      <c r="HW53" s="10"/>
      <c r="HX53" s="10"/>
      <c r="HY53" s="10"/>
      <c r="HZ53" s="10"/>
      <c r="IA53" s="10"/>
      <c r="IB53" s="10"/>
      <c r="IC53" s="10"/>
      <c r="ID53" s="10"/>
      <c r="IE53" s="10"/>
      <c r="IF53" s="10"/>
      <c r="IG53" s="10"/>
      <c r="IH53" s="10"/>
      <c r="II53" s="10"/>
      <c r="IJ53" s="10"/>
      <c r="IK53" s="10"/>
      <c r="IL53" s="10"/>
      <c r="IM53" s="10"/>
      <c r="IN53" s="10"/>
      <c r="IO53" s="10"/>
      <c r="IP53" s="10"/>
      <c r="IQ53" s="10"/>
      <c r="IR53" s="10"/>
      <c r="IS53" s="10"/>
      <c r="IT53" s="10"/>
      <c r="IU53" s="10"/>
      <c r="IV53" s="10"/>
      <c r="IW53" s="10"/>
      <c r="IX53" s="10"/>
      <c r="IY53" s="10"/>
      <c r="IZ53" s="10"/>
      <c r="JA53" s="10"/>
      <c r="JB53" s="10"/>
      <c r="JC53" s="10"/>
      <c r="JD53" s="10"/>
      <c r="JE53" s="10"/>
      <c r="JF53" s="10"/>
      <c r="JG53" s="10"/>
      <c r="JH53" s="10"/>
      <c r="JI53" s="10"/>
      <c r="JJ53" s="10"/>
      <c r="JK53" s="10"/>
      <c r="JL53" s="10"/>
      <c r="JM53" s="10"/>
      <c r="JN53" s="10"/>
      <c r="JO53" s="10"/>
      <c r="JP53" s="10"/>
      <c r="JQ53" s="10"/>
      <c r="JR53" s="10"/>
      <c r="JS53" s="10"/>
      <c r="JT53" s="10"/>
      <c r="JU53" s="10"/>
      <c r="JV53" s="10"/>
      <c r="JW53" s="10"/>
      <c r="JX53" s="10"/>
      <c r="JY53" s="10"/>
      <c r="JZ53" s="10"/>
      <c r="KA53" s="10"/>
      <c r="KB53" s="10"/>
      <c r="KC53" s="10"/>
      <c r="KD53" s="10"/>
      <c r="KE53" s="10"/>
      <c r="KF53" s="10"/>
      <c r="KG53" s="10"/>
      <c r="KH53" s="10"/>
      <c r="KI53" s="10"/>
      <c r="KJ53" s="10"/>
      <c r="KK53" s="10"/>
    </row>
    <row r="54" spans="1:297" s="26" customFormat="1" x14ac:dyDescent="0.2">
      <c r="A54" s="5"/>
      <c r="B54" s="26" t="s">
        <v>60</v>
      </c>
      <c r="C54" s="26">
        <v>-1.5</v>
      </c>
      <c r="D54" s="26">
        <v>25</v>
      </c>
      <c r="E54" s="26">
        <v>0</v>
      </c>
      <c r="F54" s="26">
        <v>10</v>
      </c>
      <c r="H54" s="26">
        <v>50</v>
      </c>
      <c r="J54" s="26">
        <v>2.3799000000000001</v>
      </c>
      <c r="K54" s="26">
        <v>2.3026</v>
      </c>
      <c r="M54" s="6">
        <f t="shared" si="1"/>
        <v>10.566756000000002</v>
      </c>
      <c r="N54" s="6">
        <f t="shared" si="1"/>
        <v>10.223544</v>
      </c>
      <c r="P54" s="26">
        <f t="shared" si="2"/>
        <v>0.17931030035635503</v>
      </c>
      <c r="Q54" s="26">
        <f t="shared" si="3"/>
        <v>0.17419567217583917</v>
      </c>
      <c r="S54" s="27">
        <f t="shared" si="4"/>
        <v>1.0293613963919435</v>
      </c>
      <c r="T54" s="27"/>
      <c r="U54" s="27">
        <f t="shared" si="5"/>
        <v>50.723414677251334</v>
      </c>
      <c r="V54" s="28"/>
      <c r="W54" s="27">
        <f t="shared" si="7"/>
        <v>20.790300000000002</v>
      </c>
      <c r="X54"/>
      <c r="Y54">
        <f t="shared" si="0"/>
        <v>3.5350597253219418E-7</v>
      </c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 s="9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 s="10"/>
      <c r="GM54" s="10"/>
      <c r="GN54" s="10"/>
      <c r="GO54" s="10"/>
      <c r="GP54" s="10"/>
      <c r="GQ54" s="10"/>
      <c r="GR54" s="10"/>
      <c r="GS54" s="10"/>
      <c r="GT54" s="10"/>
      <c r="GU54" s="10"/>
      <c r="GV54" s="10"/>
      <c r="GW54" s="10"/>
      <c r="GX54" s="10"/>
      <c r="GY54" s="10"/>
      <c r="GZ54" s="10"/>
      <c r="HA54" s="10"/>
      <c r="HB54" s="10"/>
      <c r="HC54" s="10"/>
      <c r="HD54" s="10"/>
      <c r="HE54" s="10"/>
      <c r="HF54" s="10"/>
      <c r="HG54" s="10"/>
      <c r="HH54" s="10"/>
      <c r="HI54" s="10"/>
      <c r="HJ54" s="10"/>
      <c r="HK54" s="10"/>
      <c r="HL54" s="10"/>
      <c r="HM54" s="10"/>
      <c r="HN54" s="10"/>
      <c r="HO54" s="10"/>
      <c r="HP54" s="10"/>
      <c r="HQ54" s="10"/>
      <c r="HR54" s="10"/>
      <c r="HS54" s="10"/>
      <c r="HT54" s="10"/>
      <c r="HU54" s="10"/>
      <c r="HV54" s="10"/>
      <c r="HW54" s="10"/>
      <c r="HX54" s="10"/>
      <c r="HY54" s="10"/>
      <c r="HZ54" s="10"/>
      <c r="IA54" s="10"/>
      <c r="IB54" s="10"/>
      <c r="IC54" s="10"/>
      <c r="ID54" s="10"/>
      <c r="IE54" s="10"/>
      <c r="IF54" s="10"/>
      <c r="IG54" s="10"/>
      <c r="IH54" s="10"/>
      <c r="II54" s="10"/>
      <c r="IJ54" s="10"/>
      <c r="IK54" s="10"/>
      <c r="IL54" s="10"/>
      <c r="IM54" s="10"/>
      <c r="IN54" s="10"/>
      <c r="IO54" s="10"/>
      <c r="IP54" s="10"/>
      <c r="IQ54" s="10"/>
      <c r="IR54" s="10"/>
      <c r="IS54" s="10"/>
      <c r="IT54" s="10"/>
      <c r="IU54" s="10"/>
      <c r="IV54" s="10"/>
      <c r="IW54" s="10"/>
      <c r="IX54" s="10"/>
      <c r="IY54" s="10"/>
      <c r="IZ54" s="10"/>
      <c r="JA54" s="10"/>
      <c r="JB54" s="10"/>
      <c r="JC54" s="10"/>
      <c r="JD54" s="10"/>
      <c r="JE54" s="10"/>
      <c r="JF54" s="10"/>
      <c r="JG54" s="10"/>
      <c r="JH54" s="10"/>
      <c r="JI54" s="10"/>
      <c r="JJ54" s="10"/>
      <c r="JK54" s="10"/>
      <c r="JL54" s="10"/>
      <c r="JM54" s="10"/>
      <c r="JN54" s="10"/>
      <c r="JO54" s="10"/>
      <c r="JP54" s="10"/>
      <c r="JQ54" s="10"/>
      <c r="JR54" s="10"/>
      <c r="JS54" s="10"/>
      <c r="JT54" s="10"/>
      <c r="JU54" s="10"/>
      <c r="JV54" s="10"/>
      <c r="JW54" s="10"/>
      <c r="JX54" s="10"/>
      <c r="JY54" s="10"/>
      <c r="JZ54" s="10"/>
      <c r="KA54" s="10"/>
      <c r="KB54" s="10"/>
      <c r="KC54" s="10"/>
      <c r="KD54" s="10"/>
      <c r="KE54" s="10"/>
      <c r="KF54" s="10"/>
      <c r="KG54" s="10"/>
      <c r="KH54" s="10"/>
      <c r="KI54" s="10"/>
      <c r="KJ54" s="10"/>
      <c r="KK54" s="10"/>
    </row>
    <row r="55" spans="1:297" s="26" customFormat="1" x14ac:dyDescent="0.2">
      <c r="A55" s="5"/>
      <c r="B55" s="26" t="s">
        <v>61</v>
      </c>
      <c r="C55" s="26">
        <v>-1.5</v>
      </c>
      <c r="D55" s="26">
        <v>50</v>
      </c>
      <c r="E55" s="26">
        <v>0</v>
      </c>
      <c r="F55" s="26">
        <v>10</v>
      </c>
      <c r="H55" s="26">
        <v>50</v>
      </c>
      <c r="J55" s="26">
        <v>2.5598999999999998</v>
      </c>
      <c r="K55" s="26">
        <v>2.4939</v>
      </c>
      <c r="M55" s="6">
        <f t="shared" si="1"/>
        <v>11.365956000000001</v>
      </c>
      <c r="N55" s="6">
        <f t="shared" si="1"/>
        <v>11.072916000000001</v>
      </c>
      <c r="P55" s="26">
        <f t="shared" si="2"/>
        <v>0.19287215340234176</v>
      </c>
      <c r="Q55" s="26">
        <f t="shared" si="3"/>
        <v>0.18866784801499406</v>
      </c>
      <c r="S55" s="27">
        <f t="shared" si="4"/>
        <v>1.0222841646395076</v>
      </c>
      <c r="T55" s="27"/>
      <c r="U55" s="27">
        <f t="shared" si="5"/>
        <v>50.550965216193539</v>
      </c>
      <c r="V55" s="28"/>
      <c r="W55" s="27">
        <f t="shared" si="7"/>
        <v>22.438872000000003</v>
      </c>
      <c r="X55"/>
      <c r="Y55">
        <f t="shared" si="0"/>
        <v>3.815400014173358E-7</v>
      </c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 s="9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10"/>
      <c r="GK55" s="10"/>
      <c r="GL55" s="10"/>
      <c r="GM55" s="10"/>
      <c r="GN55" s="10"/>
      <c r="GO55" s="10"/>
      <c r="GP55" s="10"/>
      <c r="GQ55" s="10"/>
      <c r="GR55" s="10"/>
      <c r="GS55" s="10"/>
      <c r="GT55" s="10"/>
      <c r="GU55" s="10"/>
      <c r="GV55" s="10"/>
      <c r="GW55" s="10"/>
      <c r="GX55" s="10"/>
      <c r="GY55" s="10"/>
      <c r="GZ55" s="10"/>
      <c r="HA55" s="10"/>
      <c r="HB55" s="10"/>
      <c r="HC55" s="10"/>
      <c r="HD55" s="10"/>
      <c r="HE55" s="10"/>
      <c r="HF55" s="10"/>
      <c r="HG55" s="10"/>
      <c r="HH55" s="10"/>
      <c r="HI55" s="10"/>
      <c r="HJ55" s="10"/>
      <c r="HK55" s="10"/>
      <c r="HL55" s="10"/>
      <c r="HM55" s="10"/>
      <c r="HN55" s="10"/>
      <c r="HO55" s="10"/>
      <c r="HP55" s="10"/>
      <c r="HQ55" s="10"/>
      <c r="HR55" s="10"/>
      <c r="HS55" s="10"/>
      <c r="HT55" s="10"/>
      <c r="HU55" s="10"/>
      <c r="HV55" s="10"/>
      <c r="HW55" s="10"/>
      <c r="HX55" s="10"/>
      <c r="HY55" s="10"/>
      <c r="HZ55" s="10"/>
      <c r="IA55" s="10"/>
      <c r="IB55" s="10"/>
      <c r="IC55" s="10"/>
      <c r="ID55" s="10"/>
      <c r="IE55" s="10"/>
      <c r="IF55" s="10"/>
      <c r="IG55" s="10"/>
      <c r="IH55" s="10"/>
      <c r="II55" s="10"/>
      <c r="IJ55" s="10"/>
      <c r="IK55" s="10"/>
      <c r="IL55" s="10"/>
      <c r="IM55" s="10"/>
      <c r="IN55" s="10"/>
      <c r="IO55" s="10"/>
      <c r="IP55" s="10"/>
      <c r="IQ55" s="10"/>
      <c r="IR55" s="10"/>
      <c r="IS55" s="10"/>
      <c r="IT55" s="10"/>
      <c r="IU55" s="10"/>
      <c r="IV55" s="10"/>
      <c r="IW55" s="10"/>
      <c r="IX55" s="10"/>
      <c r="IY55" s="10"/>
      <c r="IZ55" s="10"/>
      <c r="JA55" s="10"/>
      <c r="JB55" s="10"/>
      <c r="JC55" s="10"/>
      <c r="JD55" s="10"/>
      <c r="JE55" s="10"/>
      <c r="JF55" s="10"/>
      <c r="JG55" s="10"/>
      <c r="JH55" s="10"/>
      <c r="JI55" s="10"/>
      <c r="JJ55" s="10"/>
      <c r="JK55" s="10"/>
      <c r="JL55" s="10"/>
      <c r="JM55" s="10"/>
      <c r="JN55" s="10"/>
      <c r="JO55" s="10"/>
      <c r="JP55" s="10"/>
      <c r="JQ55" s="10"/>
      <c r="JR55" s="10"/>
      <c r="JS55" s="10"/>
      <c r="JT55" s="10"/>
      <c r="JU55" s="10"/>
      <c r="JV55" s="10"/>
      <c r="JW55" s="10"/>
      <c r="JX55" s="10"/>
      <c r="JY55" s="10"/>
      <c r="JZ55" s="10"/>
      <c r="KA55" s="10"/>
      <c r="KB55" s="10"/>
      <c r="KC55" s="10"/>
      <c r="KD55" s="10"/>
      <c r="KE55" s="10"/>
      <c r="KF55" s="10"/>
      <c r="KG55" s="10"/>
      <c r="KH55" s="10"/>
      <c r="KI55" s="10"/>
      <c r="KJ55" s="10"/>
      <c r="KK55" s="10"/>
    </row>
    <row r="56" spans="1:297" s="26" customFormat="1" x14ac:dyDescent="0.2">
      <c r="A56" s="5"/>
      <c r="B56" s="26" t="s">
        <v>62</v>
      </c>
      <c r="C56" s="26">
        <v>-1.5</v>
      </c>
      <c r="D56" s="26">
        <v>100</v>
      </c>
      <c r="E56" s="26">
        <v>0</v>
      </c>
      <c r="F56" s="26">
        <v>10</v>
      </c>
      <c r="H56" s="26">
        <v>50</v>
      </c>
      <c r="J56" s="26">
        <v>2.7315999999999998</v>
      </c>
      <c r="K56" s="26">
        <v>2.6478999999999999</v>
      </c>
      <c r="M56" s="6">
        <f t="shared" si="1"/>
        <v>12.128304</v>
      </c>
      <c r="N56" s="6">
        <f t="shared" si="1"/>
        <v>11.756676000000001</v>
      </c>
      <c r="P56" s="26">
        <f t="shared" si="2"/>
        <v>0.20580865433565246</v>
      </c>
      <c r="Q56" s="26">
        <f t="shared" si="3"/>
        <v>0.20031821434656671</v>
      </c>
      <c r="S56" s="27">
        <f t="shared" si="4"/>
        <v>1.0274085909111932</v>
      </c>
      <c r="T56" s="27"/>
      <c r="U56" s="27">
        <f t="shared" si="5"/>
        <v>50.67595133595826</v>
      </c>
      <c r="V56" s="28"/>
      <c r="W56" s="27">
        <f t="shared" si="7"/>
        <v>23.884979999999999</v>
      </c>
      <c r="X56"/>
      <c r="Y56">
        <f t="shared" si="0"/>
        <v>4.0612686868221915E-7</v>
      </c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 s="9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  <c r="GL56" s="10"/>
      <c r="GM56" s="10"/>
      <c r="GN56" s="10"/>
      <c r="GO56" s="10"/>
      <c r="GP56" s="10"/>
      <c r="GQ56" s="10"/>
      <c r="GR56" s="10"/>
      <c r="GS56" s="10"/>
      <c r="GT56" s="10"/>
      <c r="GU56" s="10"/>
      <c r="GV56" s="10"/>
      <c r="GW56" s="10"/>
      <c r="GX56" s="10"/>
      <c r="GY56" s="10"/>
      <c r="GZ56" s="10"/>
      <c r="HA56" s="10"/>
      <c r="HB56" s="10"/>
      <c r="HC56" s="10"/>
      <c r="HD56" s="10"/>
      <c r="HE56" s="10"/>
      <c r="HF56" s="10"/>
      <c r="HG56" s="10"/>
      <c r="HH56" s="10"/>
      <c r="HI56" s="10"/>
      <c r="HJ56" s="10"/>
      <c r="HK56" s="10"/>
      <c r="HL56" s="10"/>
      <c r="HM56" s="10"/>
      <c r="HN56" s="10"/>
      <c r="HO56" s="10"/>
      <c r="HP56" s="10"/>
      <c r="HQ56" s="10"/>
      <c r="HR56" s="10"/>
      <c r="HS56" s="10"/>
      <c r="HT56" s="10"/>
      <c r="HU56" s="10"/>
      <c r="HV56" s="10"/>
      <c r="HW56" s="10"/>
      <c r="HX56" s="10"/>
      <c r="HY56" s="10"/>
      <c r="HZ56" s="10"/>
      <c r="IA56" s="10"/>
      <c r="IB56" s="10"/>
      <c r="IC56" s="10"/>
      <c r="ID56" s="10"/>
      <c r="IE56" s="10"/>
      <c r="IF56" s="10"/>
      <c r="IG56" s="10"/>
      <c r="IH56" s="10"/>
      <c r="II56" s="10"/>
      <c r="IJ56" s="10"/>
      <c r="IK56" s="10"/>
      <c r="IL56" s="10"/>
      <c r="IM56" s="10"/>
      <c r="IN56" s="10"/>
      <c r="IO56" s="10"/>
      <c r="IP56" s="10"/>
      <c r="IQ56" s="10"/>
      <c r="IR56" s="10"/>
      <c r="IS56" s="10"/>
      <c r="IT56" s="10"/>
      <c r="IU56" s="10"/>
      <c r="IV56" s="10"/>
      <c r="IW56" s="10"/>
      <c r="IX56" s="10"/>
      <c r="IY56" s="10"/>
      <c r="IZ56" s="10"/>
      <c r="JA56" s="10"/>
      <c r="JB56" s="10"/>
      <c r="JC56" s="10"/>
      <c r="JD56" s="10"/>
      <c r="JE56" s="10"/>
      <c r="JF56" s="10"/>
      <c r="JG56" s="10"/>
      <c r="JH56" s="10"/>
      <c r="JI56" s="10"/>
      <c r="JJ56" s="10"/>
      <c r="JK56" s="10"/>
      <c r="JL56" s="10"/>
      <c r="JM56" s="10"/>
      <c r="JN56" s="10"/>
      <c r="JO56" s="10"/>
      <c r="JP56" s="10"/>
      <c r="JQ56" s="10"/>
      <c r="JR56" s="10"/>
      <c r="JS56" s="10"/>
      <c r="JT56" s="10"/>
      <c r="JU56" s="10"/>
      <c r="JV56" s="10"/>
      <c r="JW56" s="10"/>
      <c r="JX56" s="10"/>
      <c r="JY56" s="10"/>
      <c r="JZ56" s="10"/>
      <c r="KA56" s="10"/>
      <c r="KB56" s="10"/>
      <c r="KC56" s="10"/>
      <c r="KD56" s="10"/>
      <c r="KE56" s="10"/>
      <c r="KF56" s="10"/>
      <c r="KG56" s="10"/>
      <c r="KH56" s="10"/>
      <c r="KI56" s="10"/>
      <c r="KJ56" s="10"/>
      <c r="KK56" s="10"/>
    </row>
    <row r="57" spans="1:297" s="26" customFormat="1" x14ac:dyDescent="0.2">
      <c r="A57" s="5"/>
      <c r="B57" s="26" t="s">
        <v>63</v>
      </c>
      <c r="C57" s="26">
        <v>-1.5</v>
      </c>
      <c r="D57" s="26">
        <v>250</v>
      </c>
      <c r="E57" s="26">
        <v>0</v>
      </c>
      <c r="F57" s="26">
        <v>10</v>
      </c>
      <c r="H57" s="26">
        <v>50</v>
      </c>
      <c r="J57" s="26">
        <v>2.5430999999999999</v>
      </c>
      <c r="K57" s="26">
        <v>2.4899</v>
      </c>
      <c r="M57" s="6">
        <f t="shared" si="1"/>
        <v>11.291364</v>
      </c>
      <c r="N57" s="6">
        <f t="shared" si="1"/>
        <v>11.055156</v>
      </c>
      <c r="P57" s="26">
        <f t="shared" si="2"/>
        <v>0.19160638045138298</v>
      </c>
      <c r="Q57" s="26">
        <f t="shared" si="3"/>
        <v>0.18836524109729086</v>
      </c>
      <c r="S57" s="27">
        <f t="shared" si="4"/>
        <v>1.017206674305787</v>
      </c>
      <c r="T57" s="27"/>
      <c r="U57" s="27">
        <f t="shared" si="5"/>
        <v>50.426497555380855</v>
      </c>
      <c r="V57" s="28"/>
      <c r="W57" s="27">
        <f t="shared" si="7"/>
        <v>22.346519999999998</v>
      </c>
      <c r="X57"/>
      <c r="Y57">
        <f t="shared" si="0"/>
        <v>3.7997162154867383E-7</v>
      </c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 s="9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 s="10"/>
      <c r="GM57" s="10"/>
      <c r="GN57" s="10"/>
      <c r="GO57" s="10"/>
      <c r="GP57" s="10"/>
      <c r="GQ57" s="10"/>
      <c r="GR57" s="10"/>
      <c r="GS57" s="10"/>
      <c r="GT57" s="10"/>
      <c r="GU57" s="10"/>
      <c r="GV57" s="10"/>
      <c r="GW57" s="10"/>
      <c r="GX57" s="10"/>
      <c r="GY57" s="10"/>
      <c r="GZ57" s="10"/>
      <c r="HA57" s="10"/>
      <c r="HB57" s="10"/>
      <c r="HC57" s="10"/>
      <c r="HD57" s="10"/>
      <c r="HE57" s="10"/>
      <c r="HF57" s="10"/>
      <c r="HG57" s="10"/>
      <c r="HH57" s="10"/>
      <c r="HI57" s="10"/>
      <c r="HJ57" s="10"/>
      <c r="HK57" s="10"/>
      <c r="HL57" s="10"/>
      <c r="HM57" s="10"/>
      <c r="HN57" s="10"/>
      <c r="HO57" s="10"/>
      <c r="HP57" s="10"/>
      <c r="HQ57" s="10"/>
      <c r="HR57" s="10"/>
      <c r="HS57" s="10"/>
      <c r="HT57" s="10"/>
      <c r="HU57" s="10"/>
      <c r="HV57" s="10"/>
      <c r="HW57" s="10"/>
      <c r="HX57" s="10"/>
      <c r="HY57" s="10"/>
      <c r="HZ57" s="10"/>
      <c r="IA57" s="10"/>
      <c r="IB57" s="10"/>
      <c r="IC57" s="10"/>
      <c r="ID57" s="10"/>
      <c r="IE57" s="10"/>
      <c r="IF57" s="10"/>
      <c r="IG57" s="10"/>
      <c r="IH57" s="10"/>
      <c r="II57" s="10"/>
      <c r="IJ57" s="10"/>
      <c r="IK57" s="10"/>
      <c r="IL57" s="10"/>
      <c r="IM57" s="10"/>
      <c r="IN57" s="10"/>
      <c r="IO57" s="10"/>
      <c r="IP57" s="10"/>
      <c r="IQ57" s="10"/>
      <c r="IR57" s="10"/>
      <c r="IS57" s="10"/>
      <c r="IT57" s="10"/>
      <c r="IU57" s="10"/>
      <c r="IV57" s="10"/>
      <c r="IW57" s="10"/>
      <c r="IX57" s="10"/>
      <c r="IY57" s="10"/>
      <c r="IZ57" s="10"/>
      <c r="JA57" s="10"/>
      <c r="JB57" s="10"/>
      <c r="JC57" s="10"/>
      <c r="JD57" s="10"/>
      <c r="JE57" s="10"/>
      <c r="JF57" s="10"/>
      <c r="JG57" s="10"/>
      <c r="JH57" s="10"/>
      <c r="JI57" s="10"/>
      <c r="JJ57" s="10"/>
      <c r="JK57" s="10"/>
      <c r="JL57" s="10"/>
      <c r="JM57" s="10"/>
      <c r="JN57" s="10"/>
      <c r="JO57" s="10"/>
      <c r="JP57" s="10"/>
      <c r="JQ57" s="10"/>
      <c r="JR57" s="10"/>
      <c r="JS57" s="10"/>
      <c r="JT57" s="10"/>
      <c r="JU57" s="10"/>
      <c r="JV57" s="10"/>
      <c r="JW57" s="10"/>
      <c r="JX57" s="10"/>
      <c r="JY57" s="10"/>
      <c r="JZ57" s="10"/>
      <c r="KA57" s="10"/>
      <c r="KB57" s="10"/>
      <c r="KC57" s="10"/>
      <c r="KD57" s="10"/>
      <c r="KE57" s="10"/>
      <c r="KF57" s="10"/>
      <c r="KG57" s="10"/>
      <c r="KH57" s="10"/>
      <c r="KI57" s="10"/>
      <c r="KJ57" s="10"/>
      <c r="KK57" s="10"/>
    </row>
    <row r="58" spans="1:297" s="26" customFormat="1" x14ac:dyDescent="0.2">
      <c r="A58" s="5"/>
      <c r="B58" s="26" t="s">
        <v>64</v>
      </c>
      <c r="C58" s="26">
        <v>-1.5</v>
      </c>
      <c r="D58" s="26">
        <v>500</v>
      </c>
      <c r="E58" s="26">
        <v>0</v>
      </c>
      <c r="F58" s="26">
        <v>10</v>
      </c>
      <c r="H58" s="26">
        <v>50</v>
      </c>
      <c r="J58" s="26">
        <v>2.3395000000000001</v>
      </c>
      <c r="K58" s="26">
        <v>2.2928999999999999</v>
      </c>
      <c r="M58" s="6">
        <f t="shared" si="1"/>
        <v>10.387380000000002</v>
      </c>
      <c r="N58" s="6">
        <f t="shared" si="1"/>
        <v>10.180476000000001</v>
      </c>
      <c r="P58" s="26">
        <f t="shared" si="2"/>
        <v>0.17626641778381133</v>
      </c>
      <c r="Q58" s="26">
        <f t="shared" si="3"/>
        <v>0.17346185040040896</v>
      </c>
      <c r="S58" s="27">
        <f t="shared" si="4"/>
        <v>1.0161682086114525</v>
      </c>
      <c r="T58" s="27"/>
      <c r="U58" s="27">
        <f t="shared" si="5"/>
        <v>50.400963782247793</v>
      </c>
      <c r="V58" s="28"/>
      <c r="W58" s="27">
        <f t="shared" si="7"/>
        <v>20.567856000000003</v>
      </c>
      <c r="X58"/>
      <c r="Y58">
        <f t="shared" si="0"/>
        <v>3.4972826818422031E-7</v>
      </c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 s="9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 s="10"/>
      <c r="GM58" s="10"/>
      <c r="GN58" s="10"/>
      <c r="GO58" s="10"/>
      <c r="GP58" s="10"/>
      <c r="GQ58" s="10"/>
      <c r="GR58" s="10"/>
      <c r="GS58" s="10"/>
      <c r="GT58" s="10"/>
      <c r="GU58" s="10"/>
      <c r="GV58" s="10"/>
      <c r="GW58" s="10"/>
      <c r="GX58" s="10"/>
      <c r="GY58" s="10"/>
      <c r="GZ58" s="10"/>
      <c r="HA58" s="10"/>
      <c r="HB58" s="10"/>
      <c r="HC58" s="10"/>
      <c r="HD58" s="10"/>
      <c r="HE58" s="10"/>
      <c r="HF58" s="10"/>
      <c r="HG58" s="10"/>
      <c r="HH58" s="10"/>
      <c r="HI58" s="10"/>
      <c r="HJ58" s="10"/>
      <c r="HK58" s="10"/>
      <c r="HL58" s="10"/>
      <c r="HM58" s="10"/>
      <c r="HN58" s="10"/>
      <c r="HO58" s="10"/>
      <c r="HP58" s="10"/>
      <c r="HQ58" s="10"/>
      <c r="HR58" s="10"/>
      <c r="HS58" s="10"/>
      <c r="HT58" s="10"/>
      <c r="HU58" s="10"/>
      <c r="HV58" s="10"/>
      <c r="HW58" s="10"/>
      <c r="HX58" s="10"/>
      <c r="HY58" s="10"/>
      <c r="HZ58" s="10"/>
      <c r="IA58" s="10"/>
      <c r="IB58" s="10"/>
      <c r="IC58" s="10"/>
      <c r="ID58" s="10"/>
      <c r="IE58" s="10"/>
      <c r="IF58" s="10"/>
      <c r="IG58" s="10"/>
      <c r="IH58" s="10"/>
      <c r="II58" s="10"/>
      <c r="IJ58" s="10"/>
      <c r="IK58" s="10"/>
      <c r="IL58" s="10"/>
      <c r="IM58" s="10"/>
      <c r="IN58" s="10"/>
      <c r="IO58" s="10"/>
      <c r="IP58" s="10"/>
      <c r="IQ58" s="10"/>
      <c r="IR58" s="10"/>
      <c r="IS58" s="10"/>
      <c r="IT58" s="10"/>
      <c r="IU58" s="10"/>
      <c r="IV58" s="10"/>
      <c r="IW58" s="10"/>
      <c r="IX58" s="10"/>
      <c r="IY58" s="10"/>
      <c r="IZ58" s="10"/>
      <c r="JA58" s="10"/>
      <c r="JB58" s="10"/>
      <c r="JC58" s="10"/>
      <c r="JD58" s="10"/>
      <c r="JE58" s="10"/>
      <c r="JF58" s="10"/>
      <c r="JG58" s="10"/>
      <c r="JH58" s="10"/>
      <c r="JI58" s="10"/>
      <c r="JJ58" s="10"/>
      <c r="JK58" s="10"/>
      <c r="JL58" s="10"/>
      <c r="JM58" s="10"/>
      <c r="JN58" s="10"/>
      <c r="JO58" s="10"/>
      <c r="JP58" s="10"/>
      <c r="JQ58" s="10"/>
      <c r="JR58" s="10"/>
      <c r="JS58" s="10"/>
      <c r="JT58" s="10"/>
      <c r="JU58" s="10"/>
      <c r="JV58" s="10"/>
      <c r="JW58" s="10"/>
      <c r="JX58" s="10"/>
      <c r="JY58" s="10"/>
      <c r="JZ58" s="10"/>
      <c r="KA58" s="10"/>
      <c r="KB58" s="10"/>
      <c r="KC58" s="10"/>
      <c r="KD58" s="10"/>
      <c r="KE58" s="10"/>
      <c r="KF58" s="10"/>
      <c r="KG58" s="10"/>
      <c r="KH58" s="10"/>
      <c r="KI58" s="10"/>
      <c r="KJ58" s="10"/>
      <c r="KK58" s="10"/>
    </row>
    <row r="59" spans="1:297" s="26" customFormat="1" x14ac:dyDescent="0.2">
      <c r="A59" s="5"/>
      <c r="B59" s="26" t="s">
        <v>65</v>
      </c>
      <c r="C59" s="26">
        <v>-1.5</v>
      </c>
      <c r="D59" s="26">
        <v>1000</v>
      </c>
      <c r="E59" s="26">
        <v>0</v>
      </c>
      <c r="F59" s="26">
        <v>10</v>
      </c>
      <c r="H59" s="26">
        <v>50</v>
      </c>
      <c r="J59" s="26">
        <v>2.3765000000000001</v>
      </c>
      <c r="K59" s="26">
        <v>2.3203</v>
      </c>
      <c r="M59" s="6">
        <f t="shared" si="1"/>
        <v>10.551660000000002</v>
      </c>
      <c r="N59" s="6">
        <f t="shared" si="1"/>
        <v>10.302132</v>
      </c>
      <c r="P59" s="26">
        <f t="shared" si="2"/>
        <v>0.17905413202104195</v>
      </c>
      <c r="Q59" s="26">
        <f t="shared" si="3"/>
        <v>0.17553470778667576</v>
      </c>
      <c r="S59" s="27">
        <f t="shared" si="4"/>
        <v>1.0200497342021002</v>
      </c>
      <c r="T59" s="27"/>
      <c r="U59" s="27">
        <f t="shared" si="5"/>
        <v>50.496268330987895</v>
      </c>
      <c r="V59" s="28"/>
      <c r="W59" s="27">
        <f t="shared" si="7"/>
        <v>20.853792000000002</v>
      </c>
      <c r="X59"/>
      <c r="Y59">
        <f t="shared" si="0"/>
        <v>3.5458883980771773E-7</v>
      </c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 s="9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/>
      <c r="GB59" s="10"/>
      <c r="GC59" s="10"/>
      <c r="GD59" s="10"/>
      <c r="GE59" s="10"/>
      <c r="GF59" s="10"/>
      <c r="GG59" s="10"/>
      <c r="GH59" s="10"/>
      <c r="GI59" s="10"/>
      <c r="GJ59" s="10"/>
      <c r="GK59" s="10"/>
      <c r="GL59" s="10"/>
      <c r="GM59" s="10"/>
      <c r="GN59" s="10"/>
      <c r="GO59" s="10"/>
      <c r="GP59" s="10"/>
      <c r="GQ59" s="10"/>
      <c r="GR59" s="10"/>
      <c r="GS59" s="10"/>
      <c r="GT59" s="10"/>
      <c r="GU59" s="10"/>
      <c r="GV59" s="10"/>
      <c r="GW59" s="10"/>
      <c r="GX59" s="10"/>
      <c r="GY59" s="10"/>
      <c r="GZ59" s="10"/>
      <c r="HA59" s="10"/>
      <c r="HB59" s="10"/>
      <c r="HC59" s="10"/>
      <c r="HD59" s="10"/>
      <c r="HE59" s="10"/>
      <c r="HF59" s="10"/>
      <c r="HG59" s="10"/>
      <c r="HH59" s="10"/>
      <c r="HI59" s="10"/>
      <c r="HJ59" s="10"/>
      <c r="HK59" s="10"/>
      <c r="HL59" s="10"/>
      <c r="HM59" s="10"/>
      <c r="HN59" s="10"/>
      <c r="HO59" s="10"/>
      <c r="HP59" s="10"/>
      <c r="HQ59" s="10"/>
      <c r="HR59" s="10"/>
      <c r="HS59" s="10"/>
      <c r="HT59" s="10"/>
      <c r="HU59" s="10"/>
      <c r="HV59" s="10"/>
      <c r="HW59" s="10"/>
      <c r="HX59" s="10"/>
      <c r="HY59" s="10"/>
      <c r="HZ59" s="10"/>
      <c r="IA59" s="10"/>
      <c r="IB59" s="10"/>
      <c r="IC59" s="10"/>
      <c r="ID59" s="10"/>
      <c r="IE59" s="10"/>
      <c r="IF59" s="10"/>
      <c r="IG59" s="10"/>
      <c r="IH59" s="10"/>
      <c r="II59" s="10"/>
      <c r="IJ59" s="10"/>
      <c r="IK59" s="10"/>
      <c r="IL59" s="10"/>
      <c r="IM59" s="10"/>
      <c r="IN59" s="10"/>
      <c r="IO59" s="10"/>
      <c r="IP59" s="10"/>
      <c r="IQ59" s="10"/>
      <c r="IR59" s="10"/>
      <c r="IS59" s="10"/>
      <c r="IT59" s="10"/>
      <c r="IU59" s="10"/>
      <c r="IV59" s="10"/>
      <c r="IW59" s="10"/>
      <c r="IX59" s="10"/>
      <c r="IY59" s="10"/>
      <c r="IZ59" s="10"/>
      <c r="JA59" s="10"/>
      <c r="JB59" s="10"/>
      <c r="JC59" s="10"/>
      <c r="JD59" s="10"/>
      <c r="JE59" s="10"/>
      <c r="JF59" s="10"/>
      <c r="JG59" s="10"/>
      <c r="JH59" s="10"/>
      <c r="JI59" s="10"/>
      <c r="JJ59" s="10"/>
      <c r="JK59" s="10"/>
      <c r="JL59" s="10"/>
      <c r="JM59" s="10"/>
      <c r="JN59" s="10"/>
      <c r="JO59" s="10"/>
      <c r="JP59" s="10"/>
      <c r="JQ59" s="10"/>
      <c r="JR59" s="10"/>
      <c r="JS59" s="10"/>
      <c r="JT59" s="10"/>
      <c r="JU59" s="10"/>
      <c r="JV59" s="10"/>
      <c r="JW59" s="10"/>
      <c r="JX59" s="10"/>
      <c r="JY59" s="10"/>
      <c r="JZ59" s="10"/>
      <c r="KA59" s="10"/>
      <c r="KB59" s="10"/>
      <c r="KC59" s="10"/>
      <c r="KD59" s="10"/>
      <c r="KE59" s="10"/>
      <c r="KF59" s="10"/>
      <c r="KG59" s="10"/>
      <c r="KH59" s="10"/>
      <c r="KI59" s="10"/>
      <c r="KJ59" s="10"/>
      <c r="KK59" s="10"/>
    </row>
    <row r="60" spans="1:297" x14ac:dyDescent="0.2">
      <c r="A60" s="29"/>
      <c r="B60" s="17" t="s">
        <v>66</v>
      </c>
      <c r="C60" s="17">
        <v>-0.9</v>
      </c>
      <c r="D60" s="17">
        <v>1000</v>
      </c>
      <c r="E60" s="17">
        <v>0</v>
      </c>
      <c r="F60" s="17">
        <v>1000</v>
      </c>
      <c r="G60" s="17"/>
      <c r="H60" s="17">
        <v>100</v>
      </c>
      <c r="I60" s="17"/>
      <c r="J60" s="17">
        <v>1.23E-2</v>
      </c>
      <c r="K60" s="17">
        <v>1.49E-2</v>
      </c>
      <c r="L60" s="17"/>
      <c r="M60" s="6">
        <f t="shared" si="1"/>
        <v>5.4612000000000008E-2</v>
      </c>
      <c r="N60" s="6">
        <f t="shared" si="1"/>
        <v>6.6156000000000006E-2</v>
      </c>
      <c r="O60" s="17"/>
      <c r="P60" s="17">
        <f t="shared" si="2"/>
        <v>9.2672662480909563E-4</v>
      </c>
      <c r="Q60" s="17">
        <f t="shared" si="3"/>
        <v>1.1272107684443689E-3</v>
      </c>
      <c r="R60" s="17"/>
      <c r="S60" s="18">
        <f t="shared" si="4"/>
        <v>0.8221413871764589</v>
      </c>
      <c r="T60" s="18"/>
      <c r="U60" s="18">
        <f t="shared" si="5"/>
        <v>45.119516683083909</v>
      </c>
      <c r="V60" s="19"/>
      <c r="W60" s="43">
        <f t="shared" si="7"/>
        <v>0.12076800000000001</v>
      </c>
      <c r="Y60" s="42">
        <f t="shared" si="0"/>
        <v>2.0539373932534645E-9</v>
      </c>
    </row>
    <row r="61" spans="1:297" x14ac:dyDescent="0.2">
      <c r="A61" s="29"/>
      <c r="B61" s="17" t="s">
        <v>67</v>
      </c>
      <c r="C61" s="17">
        <v>-1</v>
      </c>
      <c r="D61" s="17">
        <v>100</v>
      </c>
      <c r="E61" s="17">
        <v>0</v>
      </c>
      <c r="F61" s="17">
        <v>1000</v>
      </c>
      <c r="G61" s="17"/>
      <c r="H61" s="17">
        <v>100</v>
      </c>
      <c r="I61" s="17"/>
      <c r="J61" s="17">
        <v>2.3999999999999998E-3</v>
      </c>
      <c r="K61" s="17">
        <v>7.0000000000000001E-3</v>
      </c>
      <c r="L61" s="17"/>
      <c r="M61" s="6">
        <f t="shared" si="1"/>
        <v>1.0656000000000001E-2</v>
      </c>
      <c r="N61" s="6">
        <f t="shared" si="1"/>
        <v>3.1080000000000003E-2</v>
      </c>
      <c r="O61" s="17"/>
      <c r="P61" s="17">
        <f t="shared" si="2"/>
        <v>1.8082470727982352E-4</v>
      </c>
      <c r="Q61" s="17">
        <f t="shared" si="3"/>
        <v>5.2956210598057601E-4</v>
      </c>
      <c r="R61" s="17"/>
      <c r="S61" s="18">
        <f t="shared" si="4"/>
        <v>0.34146081307119824</v>
      </c>
      <c r="T61" s="18"/>
      <c r="U61" s="18">
        <f t="shared" si="5"/>
        <v>25.45440088476704</v>
      </c>
      <c r="V61" s="19"/>
      <c r="W61" s="43">
        <f t="shared" si="7"/>
        <v>4.1736000000000002E-2</v>
      </c>
      <c r="Y61" s="42">
        <f t="shared" si="0"/>
        <v>7.1038681326039951E-10</v>
      </c>
    </row>
    <row r="62" spans="1:297" x14ac:dyDescent="0.2">
      <c r="A62" s="29"/>
      <c r="B62" s="17" t="s">
        <v>68</v>
      </c>
      <c r="C62" s="17">
        <v>-1.1000000000000001</v>
      </c>
      <c r="D62" s="17">
        <v>1000</v>
      </c>
      <c r="E62" s="17">
        <v>0</v>
      </c>
      <c r="F62" s="17">
        <v>1000</v>
      </c>
      <c r="G62" s="17"/>
      <c r="H62" s="17">
        <v>100</v>
      </c>
      <c r="I62" s="17"/>
      <c r="J62" s="17">
        <v>0.58950000000000002</v>
      </c>
      <c r="K62" s="17">
        <v>8.3599999999999994E-2</v>
      </c>
      <c r="L62" s="17"/>
      <c r="M62" s="6">
        <f t="shared" si="1"/>
        <v>2.6173800000000003</v>
      </c>
      <c r="N62" s="6">
        <f t="shared" si="1"/>
        <v>0.37118400000000001</v>
      </c>
      <c r="O62" s="17"/>
      <c r="P62" s="17">
        <f t="shared" si="2"/>
        <v>4.441506872560666E-2</v>
      </c>
      <c r="Q62" s="17">
        <f t="shared" si="3"/>
        <v>6.3244845799965924E-3</v>
      </c>
      <c r="R62" s="17"/>
      <c r="S62" s="18">
        <f t="shared" si="4"/>
        <v>7.0227175295967896</v>
      </c>
      <c r="T62" s="18"/>
      <c r="U62" s="30">
        <f t="shared" si="5"/>
        <v>87.535395627343519</v>
      </c>
      <c r="V62" s="19"/>
      <c r="W62" s="18">
        <f t="shared" si="7"/>
        <v>2.9885640000000002</v>
      </c>
      <c r="Y62">
        <f t="shared" si="0"/>
        <v>5.073955330560325E-8</v>
      </c>
    </row>
    <row r="63" spans="1:297" x14ac:dyDescent="0.2">
      <c r="A63" s="29"/>
      <c r="B63" s="17" t="s">
        <v>69</v>
      </c>
      <c r="C63" s="17">
        <v>-1.1000000000000001</v>
      </c>
      <c r="D63" s="17">
        <v>250</v>
      </c>
      <c r="E63" s="17">
        <v>0</v>
      </c>
      <c r="F63" s="17">
        <v>1000</v>
      </c>
      <c r="G63" s="17"/>
      <c r="H63" s="17">
        <v>100</v>
      </c>
      <c r="I63" s="17"/>
      <c r="J63" s="17">
        <v>8.3500000000000005E-2</v>
      </c>
      <c r="K63" s="17">
        <v>2.3400000000000001E-2</v>
      </c>
      <c r="L63" s="17"/>
      <c r="M63" s="6">
        <f t="shared" si="1"/>
        <v>0.37074000000000007</v>
      </c>
      <c r="N63" s="6">
        <f t="shared" si="1"/>
        <v>0.10389600000000002</v>
      </c>
      <c r="O63" s="17"/>
      <c r="P63" s="17">
        <f t="shared" si="2"/>
        <v>6.2911929407771941E-3</v>
      </c>
      <c r="Q63" s="17">
        <f t="shared" si="3"/>
        <v>1.7702504685636398E-3</v>
      </c>
      <c r="R63" s="17"/>
      <c r="S63" s="18">
        <f t="shared" si="4"/>
        <v>3.5538433981502027</v>
      </c>
      <c r="T63" s="18"/>
      <c r="U63" s="18">
        <f t="shared" si="5"/>
        <v>78.040527252074469</v>
      </c>
      <c r="V63" s="19"/>
      <c r="W63" s="18">
        <f t="shared" si="7"/>
        <v>0.47463600000000006</v>
      </c>
      <c r="Y63">
        <f t="shared" si="0"/>
        <v>8.0614434093408337E-9</v>
      </c>
    </row>
    <row r="64" spans="1:297" x14ac:dyDescent="0.2">
      <c r="A64" s="29"/>
      <c r="B64" s="17" t="s">
        <v>70</v>
      </c>
      <c r="C64" s="17">
        <v>-1.1000000000000001</v>
      </c>
      <c r="D64" s="17">
        <v>500</v>
      </c>
      <c r="E64" s="17">
        <v>0</v>
      </c>
      <c r="F64" s="17">
        <v>1000</v>
      </c>
      <c r="G64" s="17"/>
      <c r="H64" s="17">
        <v>100</v>
      </c>
      <c r="I64" s="17"/>
      <c r="J64" s="17">
        <v>0.2006</v>
      </c>
      <c r="K64" s="17">
        <v>3.27E-2</v>
      </c>
      <c r="L64" s="17"/>
      <c r="M64" s="6">
        <f t="shared" si="1"/>
        <v>0.89066400000000012</v>
      </c>
      <c r="N64" s="6">
        <f t="shared" si="1"/>
        <v>0.14518800000000001</v>
      </c>
      <c r="O64" s="17"/>
      <c r="P64" s="17">
        <f t="shared" si="2"/>
        <v>1.5113931783471918E-2</v>
      </c>
      <c r="Q64" s="17">
        <f t="shared" si="3"/>
        <v>2.4738115522235479E-3</v>
      </c>
      <c r="R64" s="17"/>
      <c r="S64" s="18">
        <f t="shared" si="4"/>
        <v>6.1095728047219238</v>
      </c>
      <c r="T64" s="18"/>
      <c r="U64" s="18">
        <f t="shared" si="5"/>
        <v>85.934457280811074</v>
      </c>
      <c r="V64" s="19"/>
      <c r="W64" s="18">
        <f t="shared" si="7"/>
        <v>1.0358520000000002</v>
      </c>
      <c r="Y64">
        <f t="shared" si="0"/>
        <v>1.7587743335695468E-8</v>
      </c>
    </row>
    <row r="65" spans="1:25" x14ac:dyDescent="0.2">
      <c r="A65" s="29"/>
      <c r="B65" s="14" t="s">
        <v>71</v>
      </c>
      <c r="C65" s="10">
        <v>-0.9</v>
      </c>
      <c r="D65" s="10">
        <v>1000</v>
      </c>
      <c r="E65" s="10">
        <v>0</v>
      </c>
      <c r="F65" s="10">
        <v>250</v>
      </c>
      <c r="G65" s="10"/>
      <c r="H65" s="10">
        <v>100</v>
      </c>
      <c r="I65" s="10"/>
      <c r="J65" s="14">
        <v>5.8999999999999999E-3</v>
      </c>
      <c r="K65" s="14">
        <v>1.0699999999999999E-2</v>
      </c>
      <c r="L65" s="14"/>
      <c r="M65" s="6">
        <f t="shared" si="1"/>
        <v>2.6196000000000001E-2</v>
      </c>
      <c r="N65" s="6">
        <f t="shared" si="1"/>
        <v>4.7508000000000002E-2</v>
      </c>
      <c r="O65" s="14"/>
      <c r="P65" s="14">
        <f t="shared" si="2"/>
        <v>4.4452740539623281E-4</v>
      </c>
      <c r="Q65" s="14">
        <f t="shared" si="3"/>
        <v>8.094735048560232E-4</v>
      </c>
      <c r="R65" s="14"/>
      <c r="S65" s="15">
        <f t="shared" si="4"/>
        <v>0.54915621416824334</v>
      </c>
      <c r="T65" s="15"/>
      <c r="U65" s="15">
        <f t="shared" si="5"/>
        <v>35.448730679693945</v>
      </c>
      <c r="V65" s="16"/>
      <c r="W65" s="43">
        <f t="shared" si="7"/>
        <v>7.3704000000000006E-2</v>
      </c>
      <c r="Y65" s="42">
        <f t="shared" si="0"/>
        <v>1.2540009102522561E-9</v>
      </c>
    </row>
    <row r="66" spans="1:25" x14ac:dyDescent="0.2">
      <c r="A66" s="29"/>
      <c r="B66" s="14" t="s">
        <v>72</v>
      </c>
      <c r="C66" s="10">
        <v>-1.1000000000000001</v>
      </c>
      <c r="D66" s="10">
        <v>250</v>
      </c>
      <c r="E66" s="10">
        <v>0</v>
      </c>
      <c r="F66" s="10">
        <v>250</v>
      </c>
      <c r="G66" s="10"/>
      <c r="H66" s="10">
        <v>100</v>
      </c>
      <c r="I66" s="10"/>
      <c r="J66" s="14">
        <v>0.26879999999999998</v>
      </c>
      <c r="K66" s="14">
        <v>5.3100000000000001E-2</v>
      </c>
      <c r="L66" s="14"/>
      <c r="M66" s="6">
        <f t="shared" si="1"/>
        <v>1.1934720000000001</v>
      </c>
      <c r="N66" s="6">
        <f t="shared" si="1"/>
        <v>0.23576400000000003</v>
      </c>
      <c r="O66" s="14"/>
      <c r="P66" s="14">
        <f t="shared" si="2"/>
        <v>2.0252367215340236E-2</v>
      </c>
      <c r="Q66" s="14">
        <f t="shared" si="3"/>
        <v>4.0171068325097975E-3</v>
      </c>
      <c r="R66" s="14"/>
      <c r="S66" s="15">
        <f t="shared" si="4"/>
        <v>5.0415306487348293</v>
      </c>
      <c r="T66" s="15"/>
      <c r="U66" s="15">
        <f t="shared" si="5"/>
        <v>83.447903219535732</v>
      </c>
      <c r="V66" s="16"/>
      <c r="W66" s="15">
        <f t="shared" si="7"/>
        <v>1.4292360000000002</v>
      </c>
      <c r="Y66">
        <f t="shared" si="0"/>
        <v>2.4269474047850032E-8</v>
      </c>
    </row>
    <row r="67" spans="1:25" x14ac:dyDescent="0.2">
      <c r="A67" s="29"/>
      <c r="B67" s="14" t="s">
        <v>73</v>
      </c>
      <c r="C67" s="10">
        <v>-1.1000000000000001</v>
      </c>
      <c r="D67" s="10">
        <v>500</v>
      </c>
      <c r="E67" s="10">
        <v>0</v>
      </c>
      <c r="F67" s="10">
        <v>250</v>
      </c>
      <c r="G67" s="10"/>
      <c r="H67" s="10">
        <v>100</v>
      </c>
      <c r="I67" s="10"/>
      <c r="J67" s="14">
        <v>2.7854999999999999</v>
      </c>
      <c r="K67" s="14">
        <v>0.93720000000000003</v>
      </c>
      <c r="L67" s="14"/>
      <c r="M67" s="6">
        <f t="shared" ref="M67:N68" si="8">J67*4.44</f>
        <v>12.367620000000001</v>
      </c>
      <c r="N67" s="6">
        <f t="shared" si="8"/>
        <v>4.1611680000000009</v>
      </c>
      <c r="O67" s="14"/>
      <c r="P67" s="14">
        <f t="shared" ref="P67:P68" si="9">M67/58.93</f>
        <v>0.20986967588664518</v>
      </c>
      <c r="Q67" s="14">
        <f t="shared" ref="Q67:Q68" si="10">N67/58.69</f>
        <v>7.0900800817856546E-2</v>
      </c>
      <c r="R67" s="14"/>
      <c r="S67" s="15">
        <f t="shared" ref="S67:S68" si="11">P67/Q67</f>
        <v>2.960046620993722</v>
      </c>
      <c r="T67" s="15"/>
      <c r="U67" s="15">
        <f t="shared" ref="U67:U68" si="12">P67*100/(P67+Q67)</f>
        <v>74.747772041404332</v>
      </c>
      <c r="V67" s="16"/>
      <c r="W67" s="15">
        <f t="shared" ref="W67:W68" si="13">M67+N67</f>
        <v>16.528788000000002</v>
      </c>
      <c r="Y67">
        <f t="shared" si="0"/>
        <v>2.8077047670450173E-7</v>
      </c>
    </row>
    <row r="68" spans="1:25" x14ac:dyDescent="0.2">
      <c r="B68" s="14" t="s">
        <v>74</v>
      </c>
      <c r="C68" s="10">
        <v>-1.1000000000000001</v>
      </c>
      <c r="D68" s="10">
        <v>1000</v>
      </c>
      <c r="E68" s="10">
        <v>0</v>
      </c>
      <c r="F68" s="10">
        <v>250</v>
      </c>
      <c r="G68" s="10"/>
      <c r="H68" s="10">
        <v>100</v>
      </c>
      <c r="I68" s="10"/>
      <c r="J68" s="14">
        <v>2.9558</v>
      </c>
      <c r="K68" s="14">
        <v>2.0194000000000001</v>
      </c>
      <c r="L68" s="14"/>
      <c r="M68" s="6">
        <f t="shared" si="8"/>
        <v>13.123752000000001</v>
      </c>
      <c r="N68" s="6">
        <f t="shared" si="8"/>
        <v>8.9661360000000005</v>
      </c>
      <c r="O68" s="14"/>
      <c r="P68" s="14">
        <f t="shared" si="9"/>
        <v>0.22270069574070933</v>
      </c>
      <c r="Q68" s="14">
        <f t="shared" si="10"/>
        <v>0.15277110240245359</v>
      </c>
      <c r="R68" s="14"/>
      <c r="S68" s="15">
        <f t="shared" si="11"/>
        <v>1.4577409748215093</v>
      </c>
      <c r="T68" s="15"/>
      <c r="U68" s="15">
        <f t="shared" si="12"/>
        <v>59.312229797827918</v>
      </c>
      <c r="V68" s="15"/>
      <c r="W68" s="15">
        <f t="shared" si="13"/>
        <v>22.089888000000002</v>
      </c>
      <c r="Y68">
        <f t="shared" ref="Y68" si="14">(P68+Q68)/1000000</f>
        <v>3.7547179814316289E-7</v>
      </c>
    </row>
    <row r="76" spans="1:25" x14ac:dyDescent="0.2">
      <c r="B76" s="58"/>
      <c r="C76" s="58"/>
      <c r="D76" s="58"/>
    </row>
  </sheetData>
  <mergeCells count="4">
    <mergeCell ref="J1:K1"/>
    <mergeCell ref="M1:N1"/>
    <mergeCell ref="P1:Q1"/>
    <mergeCell ref="B76:D76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144A3-ED3E-41E8-AE31-5A6B19D45003}">
  <sheetPr codeName="Sheet2"/>
  <dimension ref="A1:Y88"/>
  <sheetViews>
    <sheetView topLeftCell="A63" zoomScale="70" zoomScaleNormal="70" workbookViewId="0">
      <selection activeCell="Y88" sqref="B79:Y88"/>
    </sheetView>
  </sheetViews>
  <sheetFormatPr baseColWidth="10" defaultColWidth="8.83203125" defaultRowHeight="15" x14ac:dyDescent="0.2"/>
  <cols>
    <col min="4" max="4" width="12.6640625" customWidth="1"/>
    <col min="13" max="13" width="13.33203125" customWidth="1"/>
    <col min="24" max="24" width="19.5" customWidth="1"/>
    <col min="25" max="25" width="13.33203125" bestFit="1" customWidth="1"/>
  </cols>
  <sheetData>
    <row r="1" spans="2:25" x14ac:dyDescent="0.2">
      <c r="J1" s="57" t="s">
        <v>75</v>
      </c>
      <c r="K1" s="57"/>
      <c r="L1" s="2"/>
      <c r="M1" s="57" t="s">
        <v>0</v>
      </c>
      <c r="N1" s="57"/>
      <c r="O1" s="1"/>
      <c r="P1" s="57" t="s">
        <v>76</v>
      </c>
      <c r="Q1" s="57"/>
      <c r="R1" s="2"/>
      <c r="S1" s="3" t="s">
        <v>2</v>
      </c>
      <c r="T1" s="4"/>
      <c r="U1" s="3" t="s">
        <v>3</v>
      </c>
      <c r="V1" s="4"/>
      <c r="W1" s="3" t="s">
        <v>4</v>
      </c>
      <c r="Y1" t="s">
        <v>77</v>
      </c>
    </row>
    <row r="2" spans="2:25" x14ac:dyDescent="0.2">
      <c r="S2" s="4"/>
      <c r="T2" s="4"/>
      <c r="U2" s="3"/>
      <c r="V2" s="4"/>
      <c r="W2" s="4"/>
    </row>
    <row r="3" spans="2:25" x14ac:dyDescent="0.2">
      <c r="B3" s="31" t="s">
        <v>5</v>
      </c>
      <c r="C3" s="2" t="s">
        <v>214</v>
      </c>
      <c r="D3" s="2" t="s">
        <v>213</v>
      </c>
      <c r="E3" s="2" t="s">
        <v>215</v>
      </c>
      <c r="F3" s="2" t="s">
        <v>216</v>
      </c>
      <c r="G3" s="2"/>
      <c r="H3" s="2" t="s">
        <v>217</v>
      </c>
      <c r="J3" s="2" t="s">
        <v>6</v>
      </c>
      <c r="K3" s="2" t="s">
        <v>7</v>
      </c>
      <c r="L3" s="2"/>
      <c r="M3" s="2" t="s">
        <v>8</v>
      </c>
      <c r="N3" s="2" t="s">
        <v>9</v>
      </c>
      <c r="O3" s="2"/>
      <c r="P3" s="2" t="s">
        <v>8</v>
      </c>
      <c r="Q3" s="2" t="s">
        <v>9</v>
      </c>
      <c r="R3" s="2"/>
      <c r="S3" s="3"/>
      <c r="T3" s="3"/>
      <c r="U3" s="3"/>
      <c r="V3" s="4"/>
      <c r="W3" s="4"/>
    </row>
    <row r="4" spans="2:25" x14ac:dyDescent="0.2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7"/>
      <c r="T4" s="7"/>
      <c r="U4" s="32"/>
      <c r="V4" s="8"/>
      <c r="W4" s="7"/>
    </row>
    <row r="5" spans="2:25" x14ac:dyDescent="0.2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7"/>
      <c r="T5" s="7"/>
      <c r="U5" s="32"/>
      <c r="V5" s="8"/>
      <c r="W5" s="7"/>
    </row>
    <row r="6" spans="2:25" x14ac:dyDescent="0.2">
      <c r="B6" s="6" t="s">
        <v>78</v>
      </c>
      <c r="C6" s="6">
        <v>-0.9</v>
      </c>
      <c r="D6" s="6">
        <v>25</v>
      </c>
      <c r="E6" s="6">
        <v>0</v>
      </c>
      <c r="F6" s="6">
        <v>250</v>
      </c>
      <c r="G6" s="6"/>
      <c r="H6" s="6">
        <v>100</v>
      </c>
      <c r="I6" s="6"/>
      <c r="J6">
        <v>7.1000000000000004E-3</v>
      </c>
      <c r="K6">
        <v>8.3000000000000001E-3</v>
      </c>
      <c r="M6">
        <v>3.1524000000000003E-2</v>
      </c>
      <c r="N6">
        <v>3.6852000000000003E-2</v>
      </c>
      <c r="P6">
        <v>5.349397590361446E-4</v>
      </c>
      <c r="Q6">
        <v>6.2790935423411151E-4</v>
      </c>
      <c r="S6">
        <v>0.85193787196980686</v>
      </c>
      <c r="U6" s="2">
        <v>46.002508230130111</v>
      </c>
      <c r="W6" s="42">
        <v>6.8376000000000006E-2</v>
      </c>
      <c r="Y6" s="42">
        <f>(P6+Q6)/1000000</f>
        <v>1.1628491132702562E-9</v>
      </c>
    </row>
    <row r="7" spans="2:25" x14ac:dyDescent="0.2">
      <c r="B7" s="6" t="s">
        <v>79</v>
      </c>
      <c r="C7" s="6">
        <v>-0.9</v>
      </c>
      <c r="D7" s="6">
        <v>50</v>
      </c>
      <c r="E7" s="6">
        <v>0</v>
      </c>
      <c r="F7" s="6">
        <v>250</v>
      </c>
      <c r="G7" s="6"/>
      <c r="H7" s="6">
        <v>100</v>
      </c>
      <c r="I7" s="6"/>
      <c r="J7">
        <v>2.4199999999999999E-2</v>
      </c>
      <c r="K7">
        <v>3.1E-2</v>
      </c>
      <c r="M7">
        <v>0.107448</v>
      </c>
      <c r="N7">
        <v>0.13764000000000001</v>
      </c>
      <c r="P7">
        <v>1.8233157984048872E-3</v>
      </c>
      <c r="Q7">
        <v>2.3452036121996934E-3</v>
      </c>
      <c r="S7">
        <v>0.77746588352501322</v>
      </c>
      <c r="U7" s="2">
        <v>43.740129739264979</v>
      </c>
      <c r="W7" s="42">
        <v>0.24508800000000003</v>
      </c>
      <c r="Y7" s="42">
        <f t="shared" ref="Y7:Y59" si="0">(P7+Q7)/1000000</f>
        <v>4.168519410604581E-9</v>
      </c>
    </row>
    <row r="8" spans="2:25" x14ac:dyDescent="0.2">
      <c r="B8" s="6" t="s">
        <v>80</v>
      </c>
      <c r="C8" s="6">
        <v>-0.9</v>
      </c>
      <c r="D8" s="6">
        <v>100</v>
      </c>
      <c r="E8" s="6">
        <v>0</v>
      </c>
      <c r="F8" s="6">
        <v>250</v>
      </c>
      <c r="G8" s="6"/>
      <c r="H8" s="6">
        <v>100</v>
      </c>
      <c r="I8" s="6"/>
      <c r="J8">
        <v>3.0800000000000001E-2</v>
      </c>
      <c r="K8">
        <v>3.15E-2</v>
      </c>
      <c r="M8">
        <v>0.13675200000000001</v>
      </c>
      <c r="N8">
        <v>0.13986000000000001</v>
      </c>
      <c r="P8">
        <v>2.3205837434244021E-3</v>
      </c>
      <c r="Q8">
        <v>2.3830294769125919E-3</v>
      </c>
      <c r="S8">
        <v>0.97379565209193575</v>
      </c>
      <c r="U8" s="2">
        <v>49.336194000622825</v>
      </c>
      <c r="W8" s="42">
        <v>0.27661200000000002</v>
      </c>
      <c r="Y8" s="42">
        <f t="shared" si="0"/>
        <v>4.7036132203369941E-9</v>
      </c>
    </row>
    <row r="9" spans="2:25" x14ac:dyDescent="0.2">
      <c r="B9" s="6" t="s">
        <v>81</v>
      </c>
      <c r="C9" s="6">
        <v>-0.9</v>
      </c>
      <c r="D9" s="6">
        <v>250</v>
      </c>
      <c r="E9" s="6">
        <v>0</v>
      </c>
      <c r="F9" s="6">
        <v>250</v>
      </c>
      <c r="G9" s="6"/>
      <c r="H9" s="6">
        <v>100</v>
      </c>
      <c r="I9" s="6"/>
      <c r="J9">
        <v>9.4999999999999998E-3</v>
      </c>
      <c r="K9">
        <v>1.41E-2</v>
      </c>
      <c r="M9">
        <v>4.2180000000000002E-2</v>
      </c>
      <c r="N9">
        <v>6.2604000000000007E-2</v>
      </c>
      <c r="P9">
        <v>7.1576446631596818E-4</v>
      </c>
      <c r="Q9">
        <v>1.0666893849037317E-3</v>
      </c>
      <c r="S9">
        <v>0.67101489566296346</v>
      </c>
      <c r="U9" s="2">
        <v>40.156128913305885</v>
      </c>
      <c r="W9" s="42">
        <v>0.10478400000000002</v>
      </c>
      <c r="Y9" s="42">
        <f t="shared" si="0"/>
        <v>1.7824538512196999E-9</v>
      </c>
    </row>
    <row r="10" spans="2:25" x14ac:dyDescent="0.2">
      <c r="B10" s="6" t="s">
        <v>82</v>
      </c>
      <c r="C10" s="6">
        <v>-0.9</v>
      </c>
      <c r="D10" s="6">
        <v>500</v>
      </c>
      <c r="E10" s="6">
        <v>0</v>
      </c>
      <c r="F10" s="6">
        <v>250</v>
      </c>
      <c r="G10" s="6"/>
      <c r="H10" s="6">
        <v>100</v>
      </c>
      <c r="I10" s="6"/>
      <c r="J10">
        <v>6.3E-3</v>
      </c>
      <c r="K10">
        <v>9.2999999999999992E-3</v>
      </c>
      <c r="M10">
        <v>2.7972000000000004E-2</v>
      </c>
      <c r="N10">
        <v>4.1292000000000002E-2</v>
      </c>
      <c r="P10">
        <v>4.746648566095368E-4</v>
      </c>
      <c r="Q10">
        <v>7.0356108365990811E-4</v>
      </c>
      <c r="S10">
        <v>0.6746604774390611</v>
      </c>
      <c r="U10" s="2">
        <v>40.286403514506489</v>
      </c>
      <c r="W10" s="42">
        <v>6.9264000000000006E-2</v>
      </c>
      <c r="Y10" s="42">
        <f t="shared" si="0"/>
        <v>1.1782259402694449E-9</v>
      </c>
    </row>
    <row r="11" spans="2:25" x14ac:dyDescent="0.2">
      <c r="B11" s="6" t="s">
        <v>83</v>
      </c>
      <c r="C11" s="6">
        <v>-0.9</v>
      </c>
      <c r="D11" s="6">
        <v>1000</v>
      </c>
      <c r="E11" s="6">
        <v>0</v>
      </c>
      <c r="F11" s="6">
        <v>250</v>
      </c>
      <c r="G11" s="6"/>
      <c r="H11" s="6">
        <v>100</v>
      </c>
      <c r="I11" s="6"/>
      <c r="J11">
        <v>0.1333</v>
      </c>
      <c r="K11">
        <v>0.1336</v>
      </c>
      <c r="M11">
        <v>0.59185200000000004</v>
      </c>
      <c r="N11">
        <v>0.59318400000000004</v>
      </c>
      <c r="P11">
        <v>1.0043305616833533E-2</v>
      </c>
      <c r="Q11">
        <v>1.0107071051286422E-2</v>
      </c>
      <c r="S11">
        <v>0.99369100759959805</v>
      </c>
      <c r="U11" s="2">
        <v>49.841776073214128</v>
      </c>
      <c r="W11">
        <v>1.1850360000000002</v>
      </c>
      <c r="Y11">
        <f t="shared" si="0"/>
        <v>2.0150376668119954E-8</v>
      </c>
    </row>
    <row r="12" spans="2:25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33"/>
      <c r="V12" s="11"/>
      <c r="W12" s="11"/>
    </row>
    <row r="13" spans="2:25" x14ac:dyDescent="0.2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33"/>
      <c r="V13" s="11"/>
      <c r="W13" s="11"/>
    </row>
    <row r="14" spans="2:25" x14ac:dyDescent="0.2">
      <c r="B14" s="11" t="s">
        <v>84</v>
      </c>
      <c r="C14" s="11">
        <v>-1</v>
      </c>
      <c r="D14" s="11">
        <v>25</v>
      </c>
      <c r="E14" s="11">
        <v>0</v>
      </c>
      <c r="F14" s="11">
        <v>250</v>
      </c>
      <c r="G14" s="11"/>
      <c r="H14" s="11">
        <v>100</v>
      </c>
      <c r="I14" s="11"/>
      <c r="J14">
        <v>5.7000000000000002E-3</v>
      </c>
      <c r="K14">
        <v>7.9000000000000008E-3</v>
      </c>
      <c r="M14">
        <v>2.5308000000000004E-2</v>
      </c>
      <c r="N14">
        <v>3.507600000000001E-2</v>
      </c>
      <c r="P14">
        <v>4.2945867978958093E-4</v>
      </c>
      <c r="Q14">
        <v>5.9764866246379302E-4</v>
      </c>
      <c r="S14">
        <v>0.71858050852008482</v>
      </c>
      <c r="U14" s="2">
        <v>41.812443755624436</v>
      </c>
      <c r="W14" s="42">
        <v>6.0384000000000014E-2</v>
      </c>
      <c r="Y14" s="42">
        <f t="shared" si="0"/>
        <v>1.0271073422533739E-9</v>
      </c>
    </row>
    <row r="15" spans="2:25" x14ac:dyDescent="0.2">
      <c r="B15" s="11" t="s">
        <v>85</v>
      </c>
      <c r="C15" s="11">
        <v>-1</v>
      </c>
      <c r="D15" s="11">
        <v>50</v>
      </c>
      <c r="E15" s="11">
        <v>0</v>
      </c>
      <c r="F15" s="11">
        <v>250</v>
      </c>
      <c r="G15" s="11"/>
      <c r="H15" s="11">
        <v>100</v>
      </c>
      <c r="I15" s="11"/>
      <c r="J15">
        <v>7.4999999999999997E-3</v>
      </c>
      <c r="K15">
        <v>9.9000000000000008E-3</v>
      </c>
      <c r="M15">
        <v>3.3300000000000003E-2</v>
      </c>
      <c r="N15">
        <v>4.3956000000000009E-2</v>
      </c>
      <c r="P15">
        <v>5.6507721024944859E-4</v>
      </c>
      <c r="Q15">
        <v>7.4895212131538612E-4</v>
      </c>
      <c r="S15">
        <v>0.75449043292247087</v>
      </c>
      <c r="U15" s="2">
        <v>43.003393963551524</v>
      </c>
      <c r="W15" s="42">
        <v>7.7256000000000019E-2</v>
      </c>
      <c r="Y15" s="42">
        <f t="shared" si="0"/>
        <v>1.3140293315648346E-9</v>
      </c>
    </row>
    <row r="16" spans="2:25" x14ac:dyDescent="0.2">
      <c r="B16" s="11" t="s">
        <v>86</v>
      </c>
      <c r="C16" s="11">
        <v>-1</v>
      </c>
      <c r="D16" s="11">
        <v>100</v>
      </c>
      <c r="E16" s="11">
        <v>0</v>
      </c>
      <c r="F16" s="11">
        <v>250</v>
      </c>
      <c r="G16" s="11"/>
      <c r="H16" s="11">
        <v>100</v>
      </c>
      <c r="I16" s="11"/>
      <c r="J16">
        <v>6.0000000000000001E-3</v>
      </c>
      <c r="K16">
        <v>7.0000000000000001E-3</v>
      </c>
      <c r="M16">
        <v>2.6640000000000004E-2</v>
      </c>
      <c r="N16">
        <v>3.1080000000000003E-2</v>
      </c>
      <c r="P16">
        <v>4.5206176819955889E-4</v>
      </c>
      <c r="Q16">
        <v>5.2956210598057601E-4</v>
      </c>
      <c r="S16">
        <v>0.85365203267799572</v>
      </c>
      <c r="U16" s="2">
        <v>46.052442293859933</v>
      </c>
      <c r="W16" s="42">
        <v>5.7720000000000007E-2</v>
      </c>
      <c r="Y16" s="42">
        <f t="shared" si="0"/>
        <v>9.8162387418013493E-10</v>
      </c>
    </row>
    <row r="17" spans="1:25" x14ac:dyDescent="0.2">
      <c r="A17" s="34"/>
      <c r="B17" s="11" t="s">
        <v>87</v>
      </c>
      <c r="C17" s="11">
        <v>-1</v>
      </c>
      <c r="D17" s="11">
        <v>250</v>
      </c>
      <c r="E17" s="11">
        <v>0</v>
      </c>
      <c r="F17" s="11">
        <v>250</v>
      </c>
      <c r="G17" s="11"/>
      <c r="H17" s="11">
        <v>100</v>
      </c>
      <c r="I17" s="35"/>
      <c r="J17">
        <v>0.01</v>
      </c>
      <c r="K17">
        <v>4.7000000000000002E-3</v>
      </c>
      <c r="M17">
        <f t="shared" ref="M17:N17" si="1">J17*4.44</f>
        <v>4.4400000000000002E-2</v>
      </c>
      <c r="N17">
        <f t="shared" si="1"/>
        <v>2.0868000000000001E-2</v>
      </c>
      <c r="P17">
        <f t="shared" ref="P17" si="2">M17/58.93</f>
        <v>7.5343628033259808E-4</v>
      </c>
      <c r="Q17">
        <f t="shared" ref="Q17" si="3">N17/58.69</f>
        <v>3.5556312830124385E-4</v>
      </c>
      <c r="S17">
        <f t="shared" ref="S17" si="4">P17/Q17</f>
        <v>2.1189944073567268</v>
      </c>
      <c r="U17" s="2">
        <f t="shared" ref="U17" si="5">P17*100/(P17+Q17)</f>
        <v>67.93838431895503</v>
      </c>
      <c r="W17" s="42">
        <f t="shared" ref="W17" si="6">M17+N17</f>
        <v>6.5268000000000007E-2</v>
      </c>
      <c r="Y17" s="42">
        <f t="shared" si="0"/>
        <v>1.1089994086338418E-9</v>
      </c>
    </row>
    <row r="18" spans="1:25" x14ac:dyDescent="0.2">
      <c r="B18" s="11" t="s">
        <v>88</v>
      </c>
      <c r="C18" s="11">
        <v>-1</v>
      </c>
      <c r="D18" s="11">
        <v>500</v>
      </c>
      <c r="E18" s="11">
        <v>0</v>
      </c>
      <c r="F18" s="11">
        <v>250</v>
      </c>
      <c r="G18" s="11"/>
      <c r="H18" s="11">
        <v>100</v>
      </c>
      <c r="I18" s="11"/>
      <c r="J18">
        <v>0.38479999999999998</v>
      </c>
      <c r="K18">
        <v>0.16450000000000001</v>
      </c>
      <c r="M18">
        <v>1.708512</v>
      </c>
      <c r="N18">
        <v>0.73038000000000014</v>
      </c>
      <c r="P18">
        <v>2.899222806719837E-2</v>
      </c>
      <c r="Q18">
        <v>1.2444709490543536E-2</v>
      </c>
      <c r="S18">
        <v>2.3296829941453381</v>
      </c>
      <c r="U18" s="2">
        <v>69.967110930430195</v>
      </c>
      <c r="W18">
        <v>2.4388920000000001</v>
      </c>
      <c r="Y18">
        <f>(P18+Q18)/1000000</f>
        <v>4.1436937557741906E-8</v>
      </c>
    </row>
    <row r="19" spans="1:25" x14ac:dyDescent="0.2">
      <c r="B19" s="11" t="s">
        <v>89</v>
      </c>
      <c r="C19" s="11">
        <v>-1</v>
      </c>
      <c r="D19" s="11">
        <v>1000</v>
      </c>
      <c r="E19" s="11">
        <v>0</v>
      </c>
      <c r="F19" s="11">
        <v>250</v>
      </c>
      <c r="G19" s="11"/>
      <c r="H19" s="11">
        <v>100</v>
      </c>
      <c r="I19" s="11"/>
      <c r="J19">
        <v>1.4531000000000001</v>
      </c>
      <c r="K19">
        <v>0.47170000000000001</v>
      </c>
      <c r="M19">
        <v>6.4517640000000007</v>
      </c>
      <c r="N19">
        <v>2.0943480000000001</v>
      </c>
      <c r="P19">
        <v>0.10948182589512982</v>
      </c>
      <c r="Q19">
        <v>3.5684920770148239E-2</v>
      </c>
      <c r="S19">
        <v>3.0680137024912617</v>
      </c>
      <c r="U19" s="2">
        <v>75.417978572992567</v>
      </c>
      <c r="W19">
        <v>8.5461120000000008</v>
      </c>
      <c r="Y19">
        <f>(P19+Q19)/1000000</f>
        <v>1.4516674666527807E-7</v>
      </c>
    </row>
    <row r="20" spans="1:25" x14ac:dyDescent="0.2"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36"/>
      <c r="V20" s="14"/>
      <c r="W20" s="14"/>
    </row>
    <row r="21" spans="1:25" x14ac:dyDescent="0.2"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36"/>
      <c r="V21" s="14"/>
      <c r="W21" s="14"/>
    </row>
    <row r="22" spans="1:25" x14ac:dyDescent="0.2">
      <c r="B22" s="14" t="s">
        <v>90</v>
      </c>
      <c r="C22" s="14">
        <v>-1.1000000000000001</v>
      </c>
      <c r="D22" s="14">
        <v>25</v>
      </c>
      <c r="E22" s="14">
        <v>0</v>
      </c>
      <c r="F22" s="14">
        <v>250</v>
      </c>
      <c r="G22" s="14"/>
      <c r="H22" s="14">
        <v>100</v>
      </c>
      <c r="I22" s="14"/>
      <c r="J22">
        <v>5.1999999999999998E-3</v>
      </c>
      <c r="K22">
        <v>6.8999999999999999E-3</v>
      </c>
      <c r="M22">
        <v>2.3088000000000001E-2</v>
      </c>
      <c r="N22">
        <v>3.0636000000000004E-2</v>
      </c>
      <c r="P22">
        <v>3.9178686577295098E-4</v>
      </c>
      <c r="Q22">
        <v>5.2199693303799631E-4</v>
      </c>
      <c r="S22">
        <v>0.75055396109852757</v>
      </c>
      <c r="U22" s="2">
        <v>42.875225658712708</v>
      </c>
      <c r="W22" s="42">
        <v>5.3724000000000008E-2</v>
      </c>
      <c r="Y22" s="42">
        <f t="shared" si="0"/>
        <v>9.137837988109473E-10</v>
      </c>
    </row>
    <row r="23" spans="1:25" x14ac:dyDescent="0.2">
      <c r="B23" s="14" t="s">
        <v>91</v>
      </c>
      <c r="C23" s="14">
        <v>-1.1000000000000001</v>
      </c>
      <c r="D23" s="14">
        <v>50</v>
      </c>
      <c r="E23" s="14">
        <v>0</v>
      </c>
      <c r="F23" s="14">
        <v>250</v>
      </c>
      <c r="G23" s="14"/>
      <c r="H23" s="14">
        <v>100</v>
      </c>
      <c r="I23" s="14"/>
      <c r="J23">
        <v>5.8999999999999999E-3</v>
      </c>
      <c r="K23">
        <v>6.8999999999999999E-3</v>
      </c>
      <c r="M23">
        <v>2.6196000000000001E-2</v>
      </c>
      <c r="N23">
        <v>3.0636000000000004E-2</v>
      </c>
      <c r="P23">
        <v>4.4452740539623281E-4</v>
      </c>
      <c r="Q23">
        <v>5.2199693303799631E-4</v>
      </c>
      <c r="S23">
        <v>0.85159007124640618</v>
      </c>
      <c r="U23" s="2">
        <v>45.992365398306255</v>
      </c>
      <c r="W23" s="42">
        <v>5.6832000000000008E-2</v>
      </c>
      <c r="Y23" s="42">
        <f t="shared" si="0"/>
        <v>9.6652433843422898E-10</v>
      </c>
    </row>
    <row r="24" spans="1:25" x14ac:dyDescent="0.2">
      <c r="B24" s="14" t="s">
        <v>92</v>
      </c>
      <c r="C24" s="14">
        <v>-1.1000000000000001</v>
      </c>
      <c r="D24" s="14">
        <v>100</v>
      </c>
      <c r="E24" s="14">
        <v>0</v>
      </c>
      <c r="F24" s="14">
        <v>250</v>
      </c>
      <c r="G24" s="14"/>
      <c r="H24" s="14">
        <v>100</v>
      </c>
      <c r="I24" s="14"/>
      <c r="J24">
        <v>5.7099999999999998E-2</v>
      </c>
      <c r="K24">
        <v>1.5800000000000002E-2</v>
      </c>
      <c r="M24">
        <v>0.25352400000000003</v>
      </c>
      <c r="N24">
        <v>7.015200000000002E-2</v>
      </c>
      <c r="P24">
        <v>4.3021211606991353E-3</v>
      </c>
      <c r="Q24">
        <v>1.195297324927586E-3</v>
      </c>
      <c r="S24">
        <v>3.59920588039446</v>
      </c>
      <c r="U24" s="2">
        <v>78.257115989027369</v>
      </c>
      <c r="W24">
        <v>0.32367600000000007</v>
      </c>
      <c r="Y24">
        <f t="shared" si="0"/>
        <v>5.4974184856267217E-9</v>
      </c>
    </row>
    <row r="25" spans="1:25" x14ac:dyDescent="0.2">
      <c r="B25" s="14" t="s">
        <v>93</v>
      </c>
      <c r="C25" s="14">
        <v>-1.1000000000000001</v>
      </c>
      <c r="D25" s="14">
        <v>250</v>
      </c>
      <c r="E25" s="14">
        <v>0</v>
      </c>
      <c r="F25" s="14">
        <v>250</v>
      </c>
      <c r="G25" s="14"/>
      <c r="H25" s="14">
        <v>100</v>
      </c>
      <c r="I25" s="14"/>
      <c r="J25">
        <v>0.30099999999999999</v>
      </c>
      <c r="K25">
        <v>5.4899999999999997E-2</v>
      </c>
      <c r="M25">
        <v>1.3364400000000001</v>
      </c>
      <c r="N25">
        <v>0.243756</v>
      </c>
      <c r="P25">
        <v>2.26784320380112E-2</v>
      </c>
      <c r="Q25">
        <v>4.1532799454762313E-3</v>
      </c>
      <c r="S25">
        <v>5.460366827117598</v>
      </c>
      <c r="U25" s="2">
        <v>84.521002804322691</v>
      </c>
      <c r="W25">
        <v>1.5801960000000002</v>
      </c>
      <c r="Y25">
        <f t="shared" si="0"/>
        <v>2.6831711983487433E-8</v>
      </c>
    </row>
    <row r="26" spans="1:25" x14ac:dyDescent="0.2">
      <c r="B26" s="14" t="s">
        <v>94</v>
      </c>
      <c r="C26" s="14">
        <v>-1.1000000000000001</v>
      </c>
      <c r="D26" s="14">
        <v>500</v>
      </c>
      <c r="E26" s="14">
        <v>0</v>
      </c>
      <c r="F26" s="14">
        <v>250</v>
      </c>
      <c r="G26" s="14"/>
      <c r="H26" s="14">
        <v>100</v>
      </c>
      <c r="I26" s="14"/>
      <c r="J26">
        <v>2.1779999999999999</v>
      </c>
      <c r="K26">
        <v>0.91279999999999994</v>
      </c>
      <c r="M26">
        <v>9.6703200000000002</v>
      </c>
      <c r="N26">
        <v>4.0528320000000004</v>
      </c>
      <c r="P26">
        <v>0.16409842185643986</v>
      </c>
      <c r="Q26">
        <v>6.9054898619867106E-2</v>
      </c>
      <c r="S26">
        <v>2.3763472995560768</v>
      </c>
      <c r="U26" s="2">
        <v>70.38219379471181</v>
      </c>
      <c r="W26">
        <v>13.723152000000001</v>
      </c>
      <c r="Y26">
        <f t="shared" si="0"/>
        <v>2.3315332047630697E-7</v>
      </c>
    </row>
    <row r="27" spans="1:25" x14ac:dyDescent="0.2">
      <c r="B27" s="14" t="s">
        <v>95</v>
      </c>
      <c r="C27" s="14">
        <v>-1.1000000000000001</v>
      </c>
      <c r="D27" s="14">
        <v>1000</v>
      </c>
      <c r="E27" s="14">
        <v>0</v>
      </c>
      <c r="F27" s="14">
        <v>250</v>
      </c>
      <c r="G27" s="14"/>
      <c r="H27" s="14">
        <v>100</v>
      </c>
      <c r="I27" s="14"/>
      <c r="J27">
        <v>2.5508000000000002</v>
      </c>
      <c r="K27">
        <v>1.7045999999999999</v>
      </c>
      <c r="M27">
        <v>11.325552000000002</v>
      </c>
      <c r="N27">
        <v>7.5684240000000003</v>
      </c>
      <c r="P27">
        <v>0.19218652638723913</v>
      </c>
      <c r="Q27">
        <v>0.12895593797921281</v>
      </c>
      <c r="S27">
        <v>1.4903270791471335</v>
      </c>
      <c r="U27" s="2">
        <v>59.844632121878881</v>
      </c>
      <c r="W27">
        <v>18.893975999999999</v>
      </c>
      <c r="Y27">
        <f t="shared" si="0"/>
        <v>3.2114246436645194E-7</v>
      </c>
    </row>
    <row r="28" spans="1:25" x14ac:dyDescent="0.2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37"/>
      <c r="V28" s="17"/>
      <c r="W28" s="17"/>
    </row>
    <row r="29" spans="1:25" x14ac:dyDescent="0.2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37"/>
      <c r="V29" s="17"/>
      <c r="W29" s="17"/>
    </row>
    <row r="30" spans="1:25" x14ac:dyDescent="0.2">
      <c r="B30" s="17" t="s">
        <v>96</v>
      </c>
      <c r="C30" s="17">
        <v>-1.2</v>
      </c>
      <c r="D30" s="17">
        <v>25</v>
      </c>
      <c r="E30" s="17">
        <v>0</v>
      </c>
      <c r="F30" s="17">
        <v>250</v>
      </c>
      <c r="G30" s="17"/>
      <c r="H30" s="17">
        <v>100</v>
      </c>
      <c r="I30" s="17"/>
      <c r="J30">
        <v>1.15E-2</v>
      </c>
      <c r="K30">
        <v>7.0000000000000001E-3</v>
      </c>
      <c r="M30">
        <v>5.1060000000000001E-2</v>
      </c>
      <c r="N30">
        <v>3.1080000000000003E-2</v>
      </c>
      <c r="P30">
        <v>8.6645172238248777E-4</v>
      </c>
      <c r="Q30">
        <v>5.2956210598057601E-4</v>
      </c>
      <c r="S30">
        <v>1.6361663959661583</v>
      </c>
      <c r="U30" s="2">
        <v>62.066127482309447</v>
      </c>
      <c r="W30" s="42">
        <v>8.2140000000000005E-2</v>
      </c>
      <c r="Y30" s="42">
        <f t="shared" si="0"/>
        <v>1.3960138283630637E-9</v>
      </c>
    </row>
    <row r="31" spans="1:25" x14ac:dyDescent="0.2">
      <c r="B31" s="17" t="s">
        <v>97</v>
      </c>
      <c r="C31" s="17">
        <v>-1.2</v>
      </c>
      <c r="D31" s="17">
        <v>50</v>
      </c>
      <c r="E31" s="17">
        <v>0</v>
      </c>
      <c r="F31" s="17">
        <v>250</v>
      </c>
      <c r="G31" s="17"/>
      <c r="H31" s="17">
        <v>100</v>
      </c>
      <c r="I31" s="17"/>
      <c r="J31">
        <v>7.5800000000000006E-2</v>
      </c>
      <c r="K31">
        <v>2.1499999999999998E-2</v>
      </c>
      <c r="M31">
        <v>0.33655200000000007</v>
      </c>
      <c r="N31">
        <v>9.5460000000000003E-2</v>
      </c>
      <c r="P31">
        <v>5.7110470049210943E-3</v>
      </c>
      <c r="Q31">
        <v>1.6265121826546261E-3</v>
      </c>
      <c r="S31">
        <v>3.5112230119298031</v>
      </c>
      <c r="U31" s="2">
        <v>77.833062179468229</v>
      </c>
      <c r="W31">
        <v>0.43201200000000006</v>
      </c>
      <c r="Y31">
        <f t="shared" si="0"/>
        <v>7.3375591875757201E-9</v>
      </c>
    </row>
    <row r="32" spans="1:25" x14ac:dyDescent="0.2">
      <c r="B32" s="17" t="s">
        <v>98</v>
      </c>
      <c r="C32" s="17">
        <v>-1.2</v>
      </c>
      <c r="D32" s="17">
        <v>100</v>
      </c>
      <c r="E32" s="17">
        <v>0</v>
      </c>
      <c r="F32" s="17">
        <v>250</v>
      </c>
      <c r="G32" s="17"/>
      <c r="H32" s="17">
        <v>100</v>
      </c>
      <c r="I32" s="17"/>
      <c r="J32">
        <v>0.14929999999999999</v>
      </c>
      <c r="K32">
        <v>3.4299999999999997E-2</v>
      </c>
      <c r="M32">
        <v>0.66289200000000004</v>
      </c>
      <c r="N32">
        <v>0.15229200000000001</v>
      </c>
      <c r="P32">
        <v>1.124880366536569E-2</v>
      </c>
      <c r="Q32">
        <v>2.5948543193048223E-3</v>
      </c>
      <c r="S32">
        <v>4.3350424652661479</v>
      </c>
      <c r="U32" s="2">
        <v>81.25600674201732</v>
      </c>
      <c r="W32">
        <v>0.81518400000000002</v>
      </c>
      <c r="Y32">
        <f t="shared" si="0"/>
        <v>1.3843657984670512E-8</v>
      </c>
    </row>
    <row r="33" spans="2:25" x14ac:dyDescent="0.2">
      <c r="B33" s="17" t="s">
        <v>99</v>
      </c>
      <c r="C33" s="17">
        <v>-1.2</v>
      </c>
      <c r="D33" s="17">
        <v>250</v>
      </c>
      <c r="E33" s="17">
        <v>0</v>
      </c>
      <c r="F33" s="17">
        <v>250</v>
      </c>
      <c r="G33" s="17"/>
      <c r="H33" s="17">
        <v>100</v>
      </c>
      <c r="I33" s="17"/>
      <c r="J33">
        <v>0.96519999999999995</v>
      </c>
      <c r="K33">
        <v>0.26250000000000001</v>
      </c>
      <c r="M33">
        <v>4.285488</v>
      </c>
      <c r="N33">
        <v>1.1655000000000002</v>
      </c>
      <c r="P33">
        <v>7.2721669777702364E-2</v>
      </c>
      <c r="Q33">
        <v>1.9858578974271599E-2</v>
      </c>
      <c r="S33">
        <v>3.6619775197368951</v>
      </c>
      <c r="U33" s="2">
        <v>78.549875117020378</v>
      </c>
      <c r="W33">
        <v>5.4509880000000006</v>
      </c>
      <c r="Y33">
        <f t="shared" si="0"/>
        <v>9.2580248751973959E-8</v>
      </c>
    </row>
    <row r="34" spans="2:25" x14ac:dyDescent="0.2">
      <c r="B34" s="17" t="s">
        <v>100</v>
      </c>
      <c r="C34" s="17">
        <v>-1.2</v>
      </c>
      <c r="D34" s="17">
        <v>500</v>
      </c>
      <c r="E34" s="17">
        <v>0</v>
      </c>
      <c r="F34" s="17">
        <v>250</v>
      </c>
      <c r="G34" s="17"/>
      <c r="H34" s="17">
        <v>100</v>
      </c>
      <c r="I34" s="17"/>
      <c r="J34">
        <v>3.3079999999999998</v>
      </c>
      <c r="K34">
        <v>2.5586000000000002</v>
      </c>
      <c r="M34">
        <v>14.687520000000001</v>
      </c>
      <c r="N34">
        <v>11.360184000000002</v>
      </c>
      <c r="P34">
        <v>0.24923672153402343</v>
      </c>
      <c r="Q34">
        <v>0.1935625149088431</v>
      </c>
      <c r="S34">
        <v>1.2876290724544455</v>
      </c>
      <c r="U34" s="2">
        <v>56.286619538058282</v>
      </c>
      <c r="W34">
        <v>26.047704000000003</v>
      </c>
      <c r="Y34">
        <f t="shared" si="0"/>
        <v>4.4279923644286657E-7</v>
      </c>
    </row>
    <row r="35" spans="2:25" x14ac:dyDescent="0.2">
      <c r="B35" s="17" t="s">
        <v>101</v>
      </c>
      <c r="C35" s="17">
        <v>-1.2</v>
      </c>
      <c r="D35" s="17">
        <v>1000</v>
      </c>
      <c r="E35" s="17">
        <v>0</v>
      </c>
      <c r="F35" s="17">
        <v>250</v>
      </c>
      <c r="G35" s="17"/>
      <c r="H35" s="17">
        <v>100</v>
      </c>
      <c r="I35" s="17"/>
      <c r="J35">
        <v>3.4186999999999999</v>
      </c>
      <c r="K35">
        <v>2.9762</v>
      </c>
      <c r="M35">
        <v>15.179028000000001</v>
      </c>
      <c r="N35">
        <v>13.214328000000002</v>
      </c>
      <c r="P35">
        <v>0.25757726115730528</v>
      </c>
      <c r="Q35">
        <v>0.22515467711705575</v>
      </c>
      <c r="S35">
        <v>1.1440013792091619</v>
      </c>
      <c r="U35" s="2">
        <v>53.358238959302312</v>
      </c>
      <c r="W35">
        <v>28.393356000000004</v>
      </c>
      <c r="Y35">
        <f t="shared" si="0"/>
        <v>4.8273193827436104E-7</v>
      </c>
    </row>
    <row r="36" spans="2:25" x14ac:dyDescent="0.2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38"/>
      <c r="V36" s="20"/>
      <c r="W36" s="20"/>
    </row>
    <row r="37" spans="2:25" x14ac:dyDescent="0.2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38"/>
      <c r="V37" s="20"/>
      <c r="W37" s="20"/>
    </row>
    <row r="38" spans="2:25" x14ac:dyDescent="0.2">
      <c r="B38" s="20" t="s">
        <v>102</v>
      </c>
      <c r="C38" s="20">
        <v>-1.3</v>
      </c>
      <c r="D38" s="20">
        <v>25</v>
      </c>
      <c r="E38" s="20">
        <v>0</v>
      </c>
      <c r="F38" s="20">
        <v>250</v>
      </c>
      <c r="G38" s="20"/>
      <c r="H38" s="20">
        <v>100</v>
      </c>
      <c r="I38" s="20"/>
      <c r="J38">
        <v>0.16669999999999999</v>
      </c>
      <c r="K38">
        <v>3.1399999999999997E-2</v>
      </c>
      <c r="M38">
        <v>0.74014800000000003</v>
      </c>
      <c r="N38">
        <v>0.13941600000000001</v>
      </c>
      <c r="P38">
        <v>1.255978279314441E-2</v>
      </c>
      <c r="Q38">
        <v>2.3754643039700122E-3</v>
      </c>
      <c r="S38">
        <v>5.2872959497449745</v>
      </c>
      <c r="U38" s="2">
        <v>84.094911262439254</v>
      </c>
      <c r="W38">
        <v>0.87956400000000001</v>
      </c>
      <c r="Y38">
        <f t="shared" si="0"/>
        <v>1.4935247097114422E-8</v>
      </c>
    </row>
    <row r="39" spans="2:25" x14ac:dyDescent="0.2">
      <c r="B39" s="20" t="s">
        <v>103</v>
      </c>
      <c r="C39" s="20">
        <v>-1.3</v>
      </c>
      <c r="D39" s="20">
        <v>50</v>
      </c>
      <c r="E39" s="20">
        <v>0</v>
      </c>
      <c r="F39" s="20">
        <v>250</v>
      </c>
      <c r="G39" s="20"/>
      <c r="H39" s="20">
        <v>100</v>
      </c>
      <c r="I39" s="20"/>
      <c r="J39">
        <v>0.14369999999999999</v>
      </c>
      <c r="K39">
        <v>4.4400000000000002E-2</v>
      </c>
      <c r="M39">
        <v>0.63802800000000004</v>
      </c>
      <c r="N39">
        <v>0.19713600000000003</v>
      </c>
      <c r="P39">
        <v>1.0826879348379434E-2</v>
      </c>
      <c r="Q39">
        <v>3.3589367865053681E-3</v>
      </c>
      <c r="S39">
        <v>3.2233054792447287</v>
      </c>
      <c r="U39" s="2">
        <v>76.321864356853624</v>
      </c>
      <c r="W39">
        <v>0.83516400000000002</v>
      </c>
      <c r="Y39">
        <f t="shared" si="0"/>
        <v>1.4185816134884802E-8</v>
      </c>
    </row>
    <row r="40" spans="2:25" x14ac:dyDescent="0.2">
      <c r="B40" s="20" t="s">
        <v>104</v>
      </c>
      <c r="C40" s="20">
        <v>-1.3</v>
      </c>
      <c r="D40" s="20">
        <v>100</v>
      </c>
      <c r="E40" s="20">
        <v>0</v>
      </c>
      <c r="F40" s="20">
        <v>250</v>
      </c>
      <c r="G40" s="20"/>
      <c r="H40" s="20">
        <v>100</v>
      </c>
      <c r="I40" s="20"/>
      <c r="J40">
        <v>0.26840000000000003</v>
      </c>
      <c r="K40">
        <v>5.8500000000000003E-2</v>
      </c>
      <c r="M40">
        <v>1.1916960000000003</v>
      </c>
      <c r="N40">
        <v>0.25974000000000003</v>
      </c>
      <c r="P40">
        <v>2.0222229764126937E-2</v>
      </c>
      <c r="Q40">
        <v>4.4256261714090989E-3</v>
      </c>
      <c r="S40">
        <v>4.5693488290467767</v>
      </c>
      <c r="U40" s="2">
        <v>82.044579524548197</v>
      </c>
      <c r="W40">
        <v>1.4514360000000004</v>
      </c>
      <c r="Y40">
        <f t="shared" si="0"/>
        <v>2.4647855935536035E-8</v>
      </c>
    </row>
    <row r="41" spans="2:25" x14ac:dyDescent="0.2">
      <c r="B41" s="20" t="s">
        <v>105</v>
      </c>
      <c r="C41" s="20">
        <v>-1.3</v>
      </c>
      <c r="D41" s="20">
        <v>250</v>
      </c>
      <c r="E41" s="20">
        <v>0</v>
      </c>
      <c r="F41" s="20">
        <v>250</v>
      </c>
      <c r="G41" s="20"/>
      <c r="H41" s="20">
        <v>50</v>
      </c>
      <c r="I41" s="20"/>
      <c r="J41">
        <v>1.8957999999999999</v>
      </c>
      <c r="K41">
        <v>1.1161000000000001</v>
      </c>
      <c r="M41">
        <v>8.4173520000000011</v>
      </c>
      <c r="N41">
        <v>4.9554840000000011</v>
      </c>
      <c r="P41">
        <v>0.14283645002545395</v>
      </c>
      <c r="Q41">
        <v>8.4434895212131558E-2</v>
      </c>
      <c r="S41">
        <v>1.691675576390498</v>
      </c>
      <c r="U41" s="2">
        <v>62.848420189591081</v>
      </c>
      <c r="W41">
        <v>13.372836000000003</v>
      </c>
      <c r="Y41">
        <f t="shared" si="0"/>
        <v>2.2727134523758552E-7</v>
      </c>
    </row>
    <row r="42" spans="2:25" x14ac:dyDescent="0.2">
      <c r="B42" s="20" t="s">
        <v>106</v>
      </c>
      <c r="C42" s="20">
        <v>-1.3</v>
      </c>
      <c r="D42" s="20">
        <v>500</v>
      </c>
      <c r="E42" s="20">
        <v>0</v>
      </c>
      <c r="F42" s="20">
        <v>250</v>
      </c>
      <c r="G42" s="20"/>
      <c r="H42" s="20">
        <v>50</v>
      </c>
      <c r="I42" s="20"/>
      <c r="J42">
        <v>2.2210999999999999</v>
      </c>
      <c r="K42">
        <v>1.9068000000000001</v>
      </c>
      <c r="M42">
        <v>9.8616840000000003</v>
      </c>
      <c r="N42">
        <v>8.4661920000000013</v>
      </c>
      <c r="P42">
        <v>0.16734573222467336</v>
      </c>
      <c r="Q42">
        <v>0.14425271766910891</v>
      </c>
      <c r="S42">
        <v>1.1600872061803085</v>
      </c>
      <c r="U42" s="2">
        <v>53.705572759337606</v>
      </c>
      <c r="W42">
        <v>18.327876000000003</v>
      </c>
      <c r="Y42">
        <f t="shared" si="0"/>
        <v>3.1159844989378228E-7</v>
      </c>
    </row>
    <row r="43" spans="2:25" x14ac:dyDescent="0.2">
      <c r="B43" s="20" t="s">
        <v>107</v>
      </c>
      <c r="C43" s="20">
        <v>-1.3</v>
      </c>
      <c r="D43" s="20">
        <v>1000</v>
      </c>
      <c r="E43" s="20">
        <v>0</v>
      </c>
      <c r="F43" s="20">
        <v>250</v>
      </c>
      <c r="G43" s="20"/>
      <c r="H43" s="20">
        <v>50</v>
      </c>
      <c r="I43" s="20"/>
      <c r="J43">
        <v>2.0804</v>
      </c>
      <c r="K43">
        <v>1.9220999999999999</v>
      </c>
      <c r="M43">
        <v>9.2369760000000003</v>
      </c>
      <c r="N43">
        <v>8.5341240000000003</v>
      </c>
      <c r="P43">
        <v>0.15674488376039369</v>
      </c>
      <c r="Q43">
        <v>0.14541018912932357</v>
      </c>
      <c r="S43">
        <v>1.0779497963584201</v>
      </c>
      <c r="U43" s="2">
        <v>51.875641954753334</v>
      </c>
      <c r="W43">
        <v>17.771100000000001</v>
      </c>
      <c r="Y43">
        <f t="shared" si="0"/>
        <v>3.0215507288971728E-7</v>
      </c>
    </row>
    <row r="44" spans="2:25" x14ac:dyDescent="0.2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39"/>
      <c r="V44" s="23"/>
      <c r="W44" s="23"/>
    </row>
    <row r="45" spans="2:25" x14ac:dyDescent="0.2"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39"/>
      <c r="V45" s="23"/>
      <c r="W45" s="23"/>
    </row>
    <row r="46" spans="2:25" x14ac:dyDescent="0.2">
      <c r="B46" s="23" t="s">
        <v>108</v>
      </c>
      <c r="C46" s="23">
        <v>-1.4</v>
      </c>
      <c r="D46" s="23">
        <v>25</v>
      </c>
      <c r="E46" s="23">
        <v>0</v>
      </c>
      <c r="F46" s="23">
        <v>250</v>
      </c>
      <c r="G46" s="23"/>
      <c r="H46" s="23">
        <v>50</v>
      </c>
      <c r="I46" s="23"/>
      <c r="J46">
        <v>0.3962</v>
      </c>
      <c r="K46">
        <v>7.7600000000000002E-2</v>
      </c>
      <c r="M46">
        <v>1.7591280000000002</v>
      </c>
      <c r="N46">
        <v>0.34454400000000002</v>
      </c>
      <c r="P46">
        <v>2.9851145426777536E-2</v>
      </c>
      <c r="Q46">
        <v>5.8705742034418137E-3</v>
      </c>
      <c r="S46">
        <v>5.0848766053031644</v>
      </c>
      <c r="U46" s="2">
        <v>83.565813000571481</v>
      </c>
      <c r="W46">
        <v>2.1036720000000004</v>
      </c>
      <c r="Y46">
        <f t="shared" si="0"/>
        <v>3.5721719630219347E-8</v>
      </c>
    </row>
    <row r="47" spans="2:25" x14ac:dyDescent="0.2">
      <c r="B47" s="23" t="s">
        <v>109</v>
      </c>
      <c r="C47" s="23">
        <v>-1.4</v>
      </c>
      <c r="D47" s="23">
        <v>50</v>
      </c>
      <c r="E47" s="23">
        <v>0</v>
      </c>
      <c r="F47" s="23">
        <v>250</v>
      </c>
      <c r="G47" s="23"/>
      <c r="H47" s="23">
        <v>50</v>
      </c>
      <c r="I47" s="23"/>
      <c r="J47">
        <v>0.31990000000000002</v>
      </c>
      <c r="K47">
        <v>7.9200000000000007E-2</v>
      </c>
      <c r="M47">
        <v>1.4203560000000002</v>
      </c>
      <c r="N47">
        <v>0.35164800000000007</v>
      </c>
      <c r="P47">
        <v>2.4102426607839813E-2</v>
      </c>
      <c r="Q47">
        <v>5.9916169705230889E-3</v>
      </c>
      <c r="S47">
        <v>4.0226914915316403</v>
      </c>
      <c r="U47" s="2">
        <v>80.090355904080099</v>
      </c>
      <c r="W47">
        <v>1.7720040000000004</v>
      </c>
      <c r="Y47">
        <f t="shared" si="0"/>
        <v>3.0094043578362899E-8</v>
      </c>
    </row>
    <row r="48" spans="2:25" x14ac:dyDescent="0.2">
      <c r="B48" s="23" t="s">
        <v>110</v>
      </c>
      <c r="C48" s="23">
        <v>-1.4</v>
      </c>
      <c r="D48" s="23">
        <v>100</v>
      </c>
      <c r="E48" s="23">
        <v>0</v>
      </c>
      <c r="F48" s="23">
        <v>250</v>
      </c>
      <c r="G48" s="23"/>
      <c r="H48" s="23">
        <v>50</v>
      </c>
      <c r="I48" s="23"/>
      <c r="J48">
        <v>0.46300000000000002</v>
      </c>
      <c r="K48">
        <v>0.1159</v>
      </c>
      <c r="M48">
        <v>2.0557200000000004</v>
      </c>
      <c r="N48">
        <v>0.51459600000000005</v>
      </c>
      <c r="P48">
        <v>3.4884099779399297E-2</v>
      </c>
      <c r="Q48">
        <v>8.7680354404498229E-3</v>
      </c>
      <c r="S48">
        <v>3.9785536927083465</v>
      </c>
      <c r="U48" s="2">
        <v>79.913845230501124</v>
      </c>
      <c r="W48">
        <v>2.5703160000000005</v>
      </c>
      <c r="Y48">
        <f t="shared" si="0"/>
        <v>4.3652135219849121E-8</v>
      </c>
    </row>
    <row r="49" spans="2:25" x14ac:dyDescent="0.2">
      <c r="B49" s="23" t="s">
        <v>111</v>
      </c>
      <c r="C49" s="23">
        <v>-1.4</v>
      </c>
      <c r="D49" s="23">
        <v>250</v>
      </c>
      <c r="E49" s="23">
        <v>0</v>
      </c>
      <c r="F49" s="23">
        <v>250</v>
      </c>
      <c r="G49" s="23"/>
      <c r="H49" s="23">
        <v>50</v>
      </c>
      <c r="I49" s="23"/>
      <c r="J49">
        <v>2.6591999999999998</v>
      </c>
      <c r="K49">
        <v>2.1983000000000001</v>
      </c>
      <c r="M49">
        <v>11.806848</v>
      </c>
      <c r="N49">
        <v>9.7604520000000008</v>
      </c>
      <c r="P49">
        <v>0.20035377566604448</v>
      </c>
      <c r="Q49">
        <v>0.16630519679672859</v>
      </c>
      <c r="S49">
        <v>1.2047355075195441</v>
      </c>
      <c r="U49" s="2">
        <v>54.643085459032761</v>
      </c>
      <c r="W49">
        <v>21.567300000000003</v>
      </c>
      <c r="Y49">
        <f t="shared" si="0"/>
        <v>3.6665897246277307E-7</v>
      </c>
    </row>
    <row r="50" spans="2:25" x14ac:dyDescent="0.2">
      <c r="B50" s="23" t="s">
        <v>112</v>
      </c>
      <c r="C50" s="23">
        <v>-1.4</v>
      </c>
      <c r="D50" s="23">
        <v>500</v>
      </c>
      <c r="E50" s="23">
        <v>0</v>
      </c>
      <c r="F50" s="23">
        <v>250</v>
      </c>
      <c r="G50" s="23"/>
      <c r="H50" s="23">
        <v>50</v>
      </c>
      <c r="I50" s="23"/>
      <c r="J50">
        <v>2.5293000000000001</v>
      </c>
      <c r="K50">
        <v>2.3268</v>
      </c>
      <c r="M50">
        <v>11.230092000000001</v>
      </c>
      <c r="N50">
        <v>10.330992</v>
      </c>
      <c r="P50">
        <v>0.19056663838452403</v>
      </c>
      <c r="Q50">
        <v>0.17602644402794343</v>
      </c>
      <c r="S50">
        <v>1.0826023296492453</v>
      </c>
      <c r="U50" s="2">
        <v>51.983151763379553</v>
      </c>
      <c r="W50">
        <v>21.561084000000001</v>
      </c>
      <c r="Y50">
        <f t="shared" si="0"/>
        <v>3.6659308241246747E-7</v>
      </c>
    </row>
    <row r="51" spans="2:25" x14ac:dyDescent="0.2">
      <c r="B51" s="23" t="s">
        <v>113</v>
      </c>
      <c r="C51" s="23">
        <v>-1.4</v>
      </c>
      <c r="D51" s="23">
        <v>1000</v>
      </c>
      <c r="E51" s="23">
        <v>0</v>
      </c>
      <c r="F51" s="23">
        <v>250</v>
      </c>
      <c r="G51" s="23"/>
      <c r="H51" s="23">
        <v>50</v>
      </c>
      <c r="I51" s="23"/>
      <c r="J51">
        <v>2.2669000000000001</v>
      </c>
      <c r="K51">
        <v>2.2334999999999998</v>
      </c>
      <c r="M51">
        <v>10.065036000000001</v>
      </c>
      <c r="N51">
        <v>9.9167400000000008</v>
      </c>
      <c r="P51">
        <v>0.17079647038859666</v>
      </c>
      <c r="Q51">
        <v>0.16896813767251664</v>
      </c>
      <c r="S51">
        <v>1.0108205768333884</v>
      </c>
      <c r="U51" s="2">
        <v>50.269058735474758</v>
      </c>
      <c r="W51">
        <v>19.981776000000004</v>
      </c>
      <c r="Y51">
        <f t="shared" si="0"/>
        <v>3.3976460806111333E-7</v>
      </c>
    </row>
    <row r="52" spans="2:25" x14ac:dyDescent="0.2"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40"/>
      <c r="V52" s="26"/>
      <c r="W52" s="26"/>
    </row>
    <row r="53" spans="2:25" x14ac:dyDescent="0.2"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40"/>
      <c r="V53" s="26"/>
      <c r="W53" s="26"/>
    </row>
    <row r="54" spans="2:25" x14ac:dyDescent="0.2">
      <c r="B54" s="26" t="s">
        <v>114</v>
      </c>
      <c r="C54" s="26">
        <v>-1.5</v>
      </c>
      <c r="D54" s="26">
        <v>25</v>
      </c>
      <c r="E54" s="26">
        <v>0</v>
      </c>
      <c r="F54" s="26">
        <v>250</v>
      </c>
      <c r="G54" s="26"/>
      <c r="H54" s="26">
        <v>50</v>
      </c>
      <c r="I54" s="26"/>
      <c r="J54">
        <v>0.74350000000000005</v>
      </c>
      <c r="K54">
        <v>0.15759999999999999</v>
      </c>
      <c r="M54">
        <v>3.3011400000000006</v>
      </c>
      <c r="N54">
        <v>0.69974400000000003</v>
      </c>
      <c r="P54">
        <v>5.6017987442728671E-2</v>
      </c>
      <c r="Q54">
        <v>1.1922712557505539E-2</v>
      </c>
      <c r="S54">
        <v>4.6984264002460119</v>
      </c>
      <c r="U54" s="2">
        <v>82.451295677753635</v>
      </c>
      <c r="W54">
        <v>4.000884000000001</v>
      </c>
      <c r="Y54">
        <f t="shared" si="0"/>
        <v>6.7940700000234214E-8</v>
      </c>
    </row>
    <row r="55" spans="2:25" x14ac:dyDescent="0.2">
      <c r="B55" s="26" t="s">
        <v>115</v>
      </c>
      <c r="C55" s="26">
        <v>-1.5</v>
      </c>
      <c r="D55" s="26">
        <v>50</v>
      </c>
      <c r="E55" s="26">
        <v>0</v>
      </c>
      <c r="F55" s="26">
        <v>250</v>
      </c>
      <c r="G55" s="26"/>
      <c r="H55" s="26">
        <v>50</v>
      </c>
      <c r="I55" s="26"/>
      <c r="J55">
        <v>0.42859999999999998</v>
      </c>
      <c r="K55">
        <v>0.1043</v>
      </c>
      <c r="M55">
        <v>1.902984</v>
      </c>
      <c r="N55">
        <v>0.46309200000000006</v>
      </c>
      <c r="P55">
        <v>3.2292278975055148E-2</v>
      </c>
      <c r="Q55">
        <v>7.8904753791105824E-3</v>
      </c>
      <c r="S55">
        <v>4.0925644430177721</v>
      </c>
      <c r="U55" s="2">
        <v>80.363527821998133</v>
      </c>
      <c r="W55">
        <v>2.3660760000000001</v>
      </c>
      <c r="Y55">
        <f t="shared" si="0"/>
        <v>4.0182754354165735E-8</v>
      </c>
    </row>
    <row r="56" spans="2:25" x14ac:dyDescent="0.2">
      <c r="B56" s="26" t="s">
        <v>116</v>
      </c>
      <c r="C56" s="26">
        <v>-1.5</v>
      </c>
      <c r="D56" s="26">
        <v>100</v>
      </c>
      <c r="E56" s="26">
        <v>0</v>
      </c>
      <c r="F56" s="26">
        <v>250</v>
      </c>
      <c r="G56" s="26"/>
      <c r="H56" s="26">
        <v>50</v>
      </c>
      <c r="I56" s="26"/>
      <c r="J56">
        <v>1.1757</v>
      </c>
      <c r="K56">
        <v>0.54159999999999997</v>
      </c>
      <c r="M56">
        <v>5.2201080000000006</v>
      </c>
      <c r="N56">
        <v>2.4047040000000002</v>
      </c>
      <c r="P56">
        <v>8.8581503478703555E-2</v>
      </c>
      <c r="Q56">
        <v>4.0972976657011419E-2</v>
      </c>
      <c r="S56">
        <v>2.1619494287717371</v>
      </c>
      <c r="U56" s="2">
        <v>68.373940743623749</v>
      </c>
      <c r="W56">
        <v>7.6248120000000004</v>
      </c>
      <c r="Y56">
        <f t="shared" si="0"/>
        <v>1.2955448013571497E-7</v>
      </c>
    </row>
    <row r="57" spans="2:25" x14ac:dyDescent="0.2">
      <c r="B57" s="26" t="s">
        <v>117</v>
      </c>
      <c r="C57" s="26">
        <v>-1.5</v>
      </c>
      <c r="D57" s="26">
        <v>250</v>
      </c>
      <c r="E57" s="26">
        <v>0</v>
      </c>
      <c r="F57" s="26">
        <v>250</v>
      </c>
      <c r="G57" s="26"/>
      <c r="H57" s="26">
        <v>25</v>
      </c>
      <c r="I57" s="26"/>
      <c r="J57">
        <v>1.5745</v>
      </c>
      <c r="K57">
        <v>1.3582000000000001</v>
      </c>
      <c r="M57">
        <v>6.9907800000000009</v>
      </c>
      <c r="N57">
        <v>6.0304080000000004</v>
      </c>
      <c r="P57">
        <v>0.11862854233836757</v>
      </c>
      <c r="Q57">
        <v>0.1027501789061169</v>
      </c>
      <c r="S57">
        <v>1.1545336816080756</v>
      </c>
      <c r="U57" s="2">
        <v>53.58624427474107</v>
      </c>
      <c r="W57">
        <v>13.021188000000002</v>
      </c>
      <c r="Y57">
        <f t="shared" si="0"/>
        <v>2.213787212444845E-7</v>
      </c>
    </row>
    <row r="58" spans="2:25" x14ac:dyDescent="0.2">
      <c r="B58" s="26" t="s">
        <v>118</v>
      </c>
      <c r="C58" s="26">
        <v>-1.5</v>
      </c>
      <c r="D58" s="26">
        <v>500</v>
      </c>
      <c r="E58" s="26">
        <v>0</v>
      </c>
      <c r="F58" s="26">
        <v>250</v>
      </c>
      <c r="G58" s="26"/>
      <c r="H58" s="26">
        <v>25</v>
      </c>
      <c r="I58" s="26"/>
      <c r="J58">
        <v>1.4549000000000001</v>
      </c>
      <c r="K58">
        <v>1.4658</v>
      </c>
      <c r="M58">
        <v>6.4597560000000005</v>
      </c>
      <c r="N58">
        <v>6.5081520000000008</v>
      </c>
      <c r="P58">
        <v>0.1096174444255897</v>
      </c>
      <c r="Q58">
        <v>0.11089030499233261</v>
      </c>
      <c r="S58">
        <v>0.98852144408087861</v>
      </c>
      <c r="U58" s="2">
        <v>49.711379629490821</v>
      </c>
      <c r="W58">
        <v>12.967908000000001</v>
      </c>
      <c r="Y58">
        <f t="shared" si="0"/>
        <v>2.2050774941792232E-7</v>
      </c>
    </row>
    <row r="59" spans="2:25" x14ac:dyDescent="0.2">
      <c r="B59" s="41" t="s">
        <v>119</v>
      </c>
      <c r="C59" s="26">
        <v>-1.5</v>
      </c>
      <c r="D59" s="26">
        <v>1000</v>
      </c>
      <c r="E59" s="26">
        <v>0</v>
      </c>
      <c r="F59" s="26">
        <v>250</v>
      </c>
      <c r="G59" s="26"/>
      <c r="H59" s="26">
        <v>25</v>
      </c>
      <c r="I59" s="26"/>
      <c r="J59">
        <v>1.399</v>
      </c>
      <c r="K59">
        <v>1.4345000000000001</v>
      </c>
      <c r="M59">
        <v>6.2115600000000004</v>
      </c>
      <c r="N59">
        <v>6.369180000000001</v>
      </c>
      <c r="P59">
        <v>0.10540573561853046</v>
      </c>
      <c r="Q59">
        <v>0.10852240586130518</v>
      </c>
      <c r="S59">
        <v>0.97128085930238295</v>
      </c>
      <c r="U59" s="2">
        <v>49.271561417489224</v>
      </c>
      <c r="W59">
        <v>12.580740000000002</v>
      </c>
      <c r="Y59">
        <f t="shared" si="0"/>
        <v>2.1392814147983563E-7</v>
      </c>
    </row>
    <row r="60" spans="2:25" x14ac:dyDescent="0.2">
      <c r="U60" s="2"/>
    </row>
    <row r="61" spans="2:25" x14ac:dyDescent="0.2">
      <c r="U61" s="2"/>
    </row>
    <row r="62" spans="2:25" x14ac:dyDescent="0.2">
      <c r="B62" t="s">
        <v>120</v>
      </c>
      <c r="C62">
        <v>-1.1000000000000001</v>
      </c>
      <c r="D62">
        <v>250</v>
      </c>
      <c r="E62">
        <v>0</v>
      </c>
      <c r="F62">
        <v>250</v>
      </c>
      <c r="H62">
        <v>25</v>
      </c>
      <c r="J62">
        <v>0.2419</v>
      </c>
      <c r="K62">
        <v>4.9700000000000001E-2</v>
      </c>
      <c r="M62">
        <f>J62*4.44</f>
        <v>1.0740360000000002</v>
      </c>
      <c r="N62">
        <f>K62*4.44</f>
        <v>0.22066800000000003</v>
      </c>
      <c r="P62">
        <f>M62/58.93</f>
        <v>1.8225623621245548E-2</v>
      </c>
      <c r="Q62">
        <f>N62/58.69</f>
        <v>3.7598909524620898E-3</v>
      </c>
      <c r="S62">
        <f>P62/Q62</f>
        <v>4.8473809085635482</v>
      </c>
      <c r="U62" s="2">
        <f>P62*100/(P62+Q62)</f>
        <v>82.898326350939612</v>
      </c>
      <c r="W62">
        <f>M62+N62</f>
        <v>1.2947040000000003</v>
      </c>
      <c r="Y62">
        <f>(P62+Q62)/1000000</f>
        <v>2.1985514573707637E-8</v>
      </c>
    </row>
    <row r="63" spans="2:25" x14ac:dyDescent="0.2">
      <c r="B63" t="s">
        <v>121</v>
      </c>
      <c r="C63">
        <v>-1.1000000000000001</v>
      </c>
      <c r="D63">
        <v>250</v>
      </c>
      <c r="E63">
        <v>0</v>
      </c>
      <c r="F63">
        <v>250</v>
      </c>
      <c r="H63">
        <v>50</v>
      </c>
      <c r="J63">
        <v>0.38879999999999998</v>
      </c>
      <c r="K63">
        <v>7.5899999999999995E-2</v>
      </c>
      <c r="M63">
        <f t="shared" ref="M63:N67" si="7">J63*4.44</f>
        <v>1.726272</v>
      </c>
      <c r="N63">
        <f t="shared" si="7"/>
        <v>0.33699600000000002</v>
      </c>
      <c r="P63">
        <f t="shared" ref="P63:P67" si="8">M63/58.93</f>
        <v>2.9293602579331411E-2</v>
      </c>
      <c r="Q63">
        <f t="shared" ref="Q63:Q67" si="9">N63/58.69</f>
        <v>5.7419662634179596E-3</v>
      </c>
      <c r="S63">
        <f t="shared" ref="S63:S67" si="10">P63/Q63</f>
        <v>5.1016674838305507</v>
      </c>
      <c r="U63" s="2">
        <f t="shared" ref="U63:U67" si="11">P63*100/(P63+Q63)</f>
        <v>83.611037431161151</v>
      </c>
      <c r="W63">
        <f t="shared" ref="W63:W67" si="12">M63+N63</f>
        <v>2.0632679999999999</v>
      </c>
      <c r="Y63">
        <f t="shared" ref="Y63:Y78" si="13">(P63+Q63)/1000000</f>
        <v>3.5035568842749374E-8</v>
      </c>
    </row>
    <row r="64" spans="2:25" x14ac:dyDescent="0.2">
      <c r="B64" t="s">
        <v>93</v>
      </c>
      <c r="C64">
        <v>-1.1000000000000001</v>
      </c>
      <c r="D64">
        <v>250</v>
      </c>
      <c r="E64">
        <v>0</v>
      </c>
      <c r="F64">
        <v>250</v>
      </c>
      <c r="H64">
        <v>100</v>
      </c>
      <c r="J64">
        <v>0.30099999999999999</v>
      </c>
      <c r="K64">
        <v>5.4899999999999997E-2</v>
      </c>
      <c r="M64">
        <f t="shared" si="7"/>
        <v>1.3364400000000001</v>
      </c>
      <c r="N64">
        <f t="shared" si="7"/>
        <v>0.243756</v>
      </c>
      <c r="P64">
        <f t="shared" si="8"/>
        <v>2.26784320380112E-2</v>
      </c>
      <c r="Q64">
        <f t="shared" si="9"/>
        <v>4.1532799454762313E-3</v>
      </c>
      <c r="S64">
        <f t="shared" si="10"/>
        <v>5.460366827117598</v>
      </c>
      <c r="U64" s="2">
        <f t="shared" si="11"/>
        <v>84.521002804322691</v>
      </c>
      <c r="W64">
        <f t="shared" si="12"/>
        <v>1.5801960000000002</v>
      </c>
      <c r="Y64">
        <f t="shared" si="13"/>
        <v>2.6831711983487433E-8</v>
      </c>
    </row>
    <row r="65" spans="2:25" x14ac:dyDescent="0.2">
      <c r="B65" t="s">
        <v>122</v>
      </c>
      <c r="C65">
        <v>-1.1000000000000001</v>
      </c>
      <c r="D65">
        <v>250</v>
      </c>
      <c r="E65">
        <v>0</v>
      </c>
      <c r="F65">
        <v>250</v>
      </c>
      <c r="H65">
        <v>200</v>
      </c>
      <c r="J65">
        <v>0.75380000000000003</v>
      </c>
      <c r="K65">
        <v>0.12609999999999999</v>
      </c>
      <c r="M65">
        <f t="shared" si="7"/>
        <v>3.3468720000000003</v>
      </c>
      <c r="N65">
        <f t="shared" si="7"/>
        <v>0.55988400000000005</v>
      </c>
      <c r="P65">
        <f t="shared" si="8"/>
        <v>5.6794026811471242E-2</v>
      </c>
      <c r="Q65">
        <f t="shared" si="9"/>
        <v>9.5396830805929474E-3</v>
      </c>
      <c r="S65">
        <f t="shared" si="10"/>
        <v>5.953450060307576</v>
      </c>
      <c r="U65" s="2">
        <f t="shared" si="11"/>
        <v>85.618649859753702</v>
      </c>
      <c r="W65">
        <f t="shared" si="12"/>
        <v>3.9067560000000006</v>
      </c>
      <c r="Y65">
        <f t="shared" si="13"/>
        <v>6.633370989206419E-8</v>
      </c>
    </row>
    <row r="66" spans="2:25" x14ac:dyDescent="0.2">
      <c r="B66" t="s">
        <v>123</v>
      </c>
      <c r="C66">
        <v>-1.1000000000000001</v>
      </c>
      <c r="D66">
        <v>250</v>
      </c>
      <c r="E66">
        <v>0</v>
      </c>
      <c r="F66">
        <v>250</v>
      </c>
      <c r="H66">
        <v>400</v>
      </c>
      <c r="J66">
        <v>0.64459999999999995</v>
      </c>
      <c r="K66">
        <v>0.1047</v>
      </c>
      <c r="M66">
        <f t="shared" si="7"/>
        <v>2.8620239999999999</v>
      </c>
      <c r="N66">
        <f t="shared" si="7"/>
        <v>0.46486800000000006</v>
      </c>
      <c r="P66">
        <f t="shared" si="8"/>
        <v>4.8566502630239268E-2</v>
      </c>
      <c r="Q66">
        <f t="shared" si="9"/>
        <v>7.9207360708809012E-3</v>
      </c>
      <c r="S66">
        <f t="shared" si="10"/>
        <v>6.1315643136734339</v>
      </c>
      <c r="U66" s="2">
        <f t="shared" si="11"/>
        <v>85.977831005706733</v>
      </c>
      <c r="W66">
        <f t="shared" si="12"/>
        <v>3.326892</v>
      </c>
      <c r="Y66">
        <f t="shared" si="13"/>
        <v>5.6487238701120171E-8</v>
      </c>
    </row>
    <row r="67" spans="2:25" x14ac:dyDescent="0.2">
      <c r="B67" t="s">
        <v>124</v>
      </c>
      <c r="C67">
        <v>-1.1000000000000001</v>
      </c>
      <c r="D67">
        <v>250</v>
      </c>
      <c r="E67">
        <v>0</v>
      </c>
      <c r="F67">
        <v>250</v>
      </c>
      <c r="H67">
        <v>500</v>
      </c>
      <c r="J67">
        <v>0.78879999999999995</v>
      </c>
      <c r="K67">
        <v>0.1396</v>
      </c>
      <c r="M67">
        <f t="shared" si="7"/>
        <v>3.5022720000000001</v>
      </c>
      <c r="N67">
        <f t="shared" si="7"/>
        <v>0.61982400000000004</v>
      </c>
      <c r="P67">
        <f t="shared" si="8"/>
        <v>5.943105379263533E-2</v>
      </c>
      <c r="Q67">
        <f t="shared" si="9"/>
        <v>1.0560981427841201E-2</v>
      </c>
      <c r="S67">
        <f t="shared" si="10"/>
        <v>5.6274176977493084</v>
      </c>
      <c r="U67" s="2">
        <f t="shared" si="11"/>
        <v>84.911166828377162</v>
      </c>
      <c r="W67">
        <f t="shared" si="12"/>
        <v>4.122096</v>
      </c>
      <c r="Y67">
        <f t="shared" si="13"/>
        <v>6.9992035220476539E-8</v>
      </c>
    </row>
    <row r="68" spans="2:25" x14ac:dyDescent="0.2">
      <c r="U68" s="2"/>
    </row>
    <row r="69" spans="2:25" x14ac:dyDescent="0.2">
      <c r="U69" s="2"/>
    </row>
    <row r="70" spans="2:25" x14ac:dyDescent="0.2">
      <c r="U70" s="2"/>
    </row>
    <row r="71" spans="2:25" x14ac:dyDescent="0.2">
      <c r="B71" t="s">
        <v>125</v>
      </c>
      <c r="C71">
        <v>-1.2</v>
      </c>
      <c r="D71">
        <v>250</v>
      </c>
      <c r="E71">
        <v>0</v>
      </c>
      <c r="F71">
        <v>5</v>
      </c>
      <c r="H71">
        <v>100</v>
      </c>
      <c r="J71">
        <v>3.0933000000000002</v>
      </c>
      <c r="K71">
        <v>2.9895999999999998</v>
      </c>
      <c r="M71">
        <f t="shared" ref="M71:N78" si="14">J71*4.44</f>
        <v>13.734252000000001</v>
      </c>
      <c r="N71">
        <f t="shared" si="14"/>
        <v>13.273824000000001</v>
      </c>
      <c r="P71">
        <f t="shared" ref="P71:P78" si="15">M71/58.93</f>
        <v>0.23306044459528255</v>
      </c>
      <c r="Q71">
        <f t="shared" ref="Q71:Q78" si="16">N71/58.69</f>
        <v>0.22616841029136142</v>
      </c>
      <c r="S71">
        <f t="shared" ref="S71:S78" si="17">P71/Q71</f>
        <v>1.0304730191764733</v>
      </c>
      <c r="U71" s="2">
        <f t="shared" ref="U71:U78" si="18">P71*100/(P71+Q71)</f>
        <v>50.750392122640285</v>
      </c>
      <c r="W71">
        <f t="shared" ref="W71:W78" si="19">M71+N71</f>
        <v>27.008076000000003</v>
      </c>
      <c r="Y71">
        <f t="shared" si="13"/>
        <v>4.5922885488664401E-7</v>
      </c>
    </row>
    <row r="72" spans="2:25" x14ac:dyDescent="0.2">
      <c r="B72" t="s">
        <v>126</v>
      </c>
      <c r="C72">
        <v>-1.2</v>
      </c>
      <c r="D72">
        <v>250</v>
      </c>
      <c r="E72">
        <v>0</v>
      </c>
      <c r="F72">
        <v>10</v>
      </c>
      <c r="H72">
        <v>100</v>
      </c>
      <c r="J72">
        <v>2.968</v>
      </c>
      <c r="K72">
        <v>2.8757000000000001</v>
      </c>
      <c r="M72">
        <f t="shared" si="14"/>
        <v>13.17792</v>
      </c>
      <c r="N72">
        <f t="shared" si="14"/>
        <v>12.768108000000002</v>
      </c>
      <c r="P72">
        <f t="shared" si="15"/>
        <v>0.22361988800271509</v>
      </c>
      <c r="Q72">
        <f t="shared" si="16"/>
        <v>0.21755167830976319</v>
      </c>
      <c r="S72">
        <f t="shared" si="17"/>
        <v>1.0278931872192298</v>
      </c>
      <c r="U72" s="2">
        <f t="shared" si="18"/>
        <v>50.68773807701082</v>
      </c>
      <c r="W72">
        <f t="shared" si="19"/>
        <v>25.946028000000002</v>
      </c>
      <c r="Y72">
        <f t="shared" si="13"/>
        <v>4.4117156631247828E-7</v>
      </c>
    </row>
    <row r="73" spans="2:25" x14ac:dyDescent="0.2">
      <c r="B73" t="s">
        <v>127</v>
      </c>
      <c r="C73">
        <v>-1.2</v>
      </c>
      <c r="D73">
        <v>250</v>
      </c>
      <c r="E73">
        <v>0</v>
      </c>
      <c r="F73">
        <v>50</v>
      </c>
      <c r="H73">
        <v>100</v>
      </c>
      <c r="J73">
        <v>3.3060999999999998</v>
      </c>
      <c r="K73">
        <v>2.9394</v>
      </c>
      <c r="M73">
        <f t="shared" si="14"/>
        <v>14.679084000000001</v>
      </c>
      <c r="N73">
        <f t="shared" si="14"/>
        <v>13.050936000000002</v>
      </c>
      <c r="P73">
        <f t="shared" si="15"/>
        <v>0.24909356864076024</v>
      </c>
      <c r="Q73">
        <f t="shared" si="16"/>
        <v>0.22237069347418645</v>
      </c>
      <c r="S73">
        <f t="shared" si="17"/>
        <v>1.1201726484235472</v>
      </c>
      <c r="U73" s="2">
        <f t="shared" si="18"/>
        <v>52.834029778492365</v>
      </c>
      <c r="W73">
        <f t="shared" si="19"/>
        <v>27.730020000000003</v>
      </c>
      <c r="Y73">
        <f t="shared" si="13"/>
        <v>4.7146426211494668E-7</v>
      </c>
    </row>
    <row r="74" spans="2:25" x14ac:dyDescent="0.2">
      <c r="B74" t="s">
        <v>128</v>
      </c>
      <c r="C74">
        <v>-1.2</v>
      </c>
      <c r="D74">
        <v>250</v>
      </c>
      <c r="E74">
        <v>0</v>
      </c>
      <c r="F74">
        <v>100</v>
      </c>
      <c r="H74">
        <v>100</v>
      </c>
      <c r="J74">
        <v>3.258</v>
      </c>
      <c r="K74">
        <v>2.5991</v>
      </c>
      <c r="M74">
        <f t="shared" si="14"/>
        <v>14.465520000000001</v>
      </c>
      <c r="N74">
        <f t="shared" si="14"/>
        <v>11.540004000000001</v>
      </c>
      <c r="P74">
        <f t="shared" si="15"/>
        <v>0.24546954013236044</v>
      </c>
      <c r="Q74">
        <f t="shared" si="16"/>
        <v>0.19662640995058786</v>
      </c>
      <c r="S74">
        <f t="shared" si="17"/>
        <v>1.24840574668503</v>
      </c>
      <c r="U74" s="2">
        <f t="shared" si="18"/>
        <v>55.524041802758916</v>
      </c>
      <c r="W74">
        <f t="shared" si="19"/>
        <v>26.005524000000001</v>
      </c>
      <c r="Y74">
        <f t="shared" si="13"/>
        <v>4.4209595008294834E-7</v>
      </c>
    </row>
    <row r="75" spans="2:25" x14ac:dyDescent="0.2">
      <c r="B75" t="s">
        <v>99</v>
      </c>
      <c r="C75">
        <v>-1.2</v>
      </c>
      <c r="D75">
        <v>250</v>
      </c>
      <c r="E75">
        <v>0</v>
      </c>
      <c r="F75">
        <v>250</v>
      </c>
      <c r="H75">
        <v>100</v>
      </c>
      <c r="J75">
        <v>0.96519999999999995</v>
      </c>
      <c r="K75">
        <v>0.26250000000000001</v>
      </c>
      <c r="M75">
        <f t="shared" si="14"/>
        <v>4.285488</v>
      </c>
      <c r="N75">
        <f t="shared" si="14"/>
        <v>1.1655000000000002</v>
      </c>
      <c r="P75">
        <f t="shared" si="15"/>
        <v>7.2721669777702364E-2</v>
      </c>
      <c r="Q75">
        <f t="shared" si="16"/>
        <v>1.9858578974271599E-2</v>
      </c>
      <c r="S75">
        <f t="shared" si="17"/>
        <v>3.6619775197368951</v>
      </c>
      <c r="U75" s="2">
        <f t="shared" si="18"/>
        <v>78.549875117020378</v>
      </c>
      <c r="W75">
        <f t="shared" si="19"/>
        <v>5.4509880000000006</v>
      </c>
      <c r="Y75">
        <f t="shared" si="13"/>
        <v>9.2580248751973959E-8</v>
      </c>
    </row>
    <row r="76" spans="2:25" x14ac:dyDescent="0.2">
      <c r="B76" t="s">
        <v>129</v>
      </c>
      <c r="C76">
        <v>-1.2</v>
      </c>
      <c r="D76">
        <v>250</v>
      </c>
      <c r="E76">
        <v>0</v>
      </c>
      <c r="F76">
        <v>500</v>
      </c>
      <c r="H76">
        <v>100</v>
      </c>
      <c r="J76">
        <v>0.4274</v>
      </c>
      <c r="K76">
        <v>8.3799999999999999E-2</v>
      </c>
      <c r="M76">
        <f t="shared" si="14"/>
        <v>1.8976560000000002</v>
      </c>
      <c r="N76">
        <f t="shared" si="14"/>
        <v>0.37207200000000001</v>
      </c>
      <c r="P76">
        <f t="shared" si="15"/>
        <v>3.2201866621415241E-2</v>
      </c>
      <c r="Q76">
        <f t="shared" si="16"/>
        <v>6.3396149258817518E-3</v>
      </c>
      <c r="S76">
        <f t="shared" si="17"/>
        <v>5.0794672859308427</v>
      </c>
      <c r="U76" s="2">
        <f t="shared" si="18"/>
        <v>83.551190376265225</v>
      </c>
      <c r="W76">
        <f t="shared" si="19"/>
        <v>2.2697280000000002</v>
      </c>
      <c r="Y76">
        <f t="shared" si="13"/>
        <v>3.8541481547296997E-8</v>
      </c>
    </row>
    <row r="77" spans="2:25" x14ac:dyDescent="0.2">
      <c r="B77" t="s">
        <v>130</v>
      </c>
      <c r="C77">
        <v>-1.2</v>
      </c>
      <c r="D77">
        <v>250</v>
      </c>
      <c r="E77">
        <v>0</v>
      </c>
      <c r="F77">
        <v>1000</v>
      </c>
      <c r="H77">
        <v>100</v>
      </c>
      <c r="J77">
        <v>0.49320000000000003</v>
      </c>
      <c r="K77">
        <v>0.1719</v>
      </c>
      <c r="M77">
        <f t="shared" si="14"/>
        <v>2.1898080000000002</v>
      </c>
      <c r="N77">
        <f t="shared" si="14"/>
        <v>0.76323600000000003</v>
      </c>
      <c r="P77">
        <f t="shared" si="15"/>
        <v>3.7159477346003736E-2</v>
      </c>
      <c r="Q77">
        <f t="shared" si="16"/>
        <v>1.3004532288294429E-2</v>
      </c>
      <c r="S77">
        <f t="shared" si="17"/>
        <v>2.8574251285800973</v>
      </c>
      <c r="U77" s="2">
        <f t="shared" si="18"/>
        <v>74.075971232963482</v>
      </c>
      <c r="W77">
        <f t="shared" si="19"/>
        <v>2.9530440000000002</v>
      </c>
      <c r="Y77">
        <f t="shared" si="13"/>
        <v>5.0164009634298165E-8</v>
      </c>
    </row>
    <row r="78" spans="2:25" x14ac:dyDescent="0.2">
      <c r="B78" t="s">
        <v>131</v>
      </c>
      <c r="C78">
        <v>-1.2</v>
      </c>
      <c r="D78">
        <v>250</v>
      </c>
      <c r="E78">
        <v>0</v>
      </c>
      <c r="F78">
        <v>2000</v>
      </c>
      <c r="H78">
        <v>100</v>
      </c>
      <c r="J78">
        <v>0.13980000000000001</v>
      </c>
      <c r="K78">
        <v>0.1104</v>
      </c>
      <c r="M78">
        <f t="shared" si="14"/>
        <v>0.62071200000000004</v>
      </c>
      <c r="N78">
        <f t="shared" si="14"/>
        <v>0.49017600000000006</v>
      </c>
      <c r="P78">
        <f t="shared" si="15"/>
        <v>1.053303919904972E-2</v>
      </c>
      <c r="Q78">
        <f t="shared" si="16"/>
        <v>8.3519509286079409E-3</v>
      </c>
      <c r="S78">
        <f t="shared" si="17"/>
        <v>1.2611471605958431</v>
      </c>
      <c r="U78" s="2">
        <f t="shared" si="18"/>
        <v>55.774660870083032</v>
      </c>
      <c r="W78">
        <f t="shared" si="19"/>
        <v>1.1108880000000001</v>
      </c>
      <c r="Y78">
        <f t="shared" si="13"/>
        <v>1.8884990127657659E-8</v>
      </c>
    </row>
    <row r="79" spans="2:25" x14ac:dyDescent="0.2">
      <c r="U79" s="2"/>
    </row>
    <row r="80" spans="2:25" x14ac:dyDescent="0.2">
      <c r="Y80" s="54"/>
    </row>
    <row r="81" spans="21:25" x14ac:dyDescent="0.2">
      <c r="U81" s="55"/>
      <c r="Y81" s="54"/>
    </row>
    <row r="82" spans="21:25" x14ac:dyDescent="0.2">
      <c r="U82" s="2"/>
      <c r="Y82" s="54"/>
    </row>
    <row r="83" spans="21:25" x14ac:dyDescent="0.2">
      <c r="Y83" s="54"/>
    </row>
    <row r="84" spans="21:25" x14ac:dyDescent="0.2">
      <c r="Y84" s="54"/>
    </row>
    <row r="85" spans="21:25" x14ac:dyDescent="0.2">
      <c r="Y85" s="54"/>
    </row>
    <row r="86" spans="21:25" x14ac:dyDescent="0.2">
      <c r="Y86" s="54"/>
    </row>
    <row r="87" spans="21:25" x14ac:dyDescent="0.2">
      <c r="Y87" s="54"/>
    </row>
    <row r="88" spans="21:25" x14ac:dyDescent="0.2">
      <c r="Y88" s="54"/>
    </row>
  </sheetData>
  <mergeCells count="3">
    <mergeCell ref="J1:K1"/>
    <mergeCell ref="M1:N1"/>
    <mergeCell ref="P1:Q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59A5-9B89-4A87-A196-2391692861CA}">
  <sheetPr codeName="Sheet3"/>
  <dimension ref="B1:Y77"/>
  <sheetViews>
    <sheetView zoomScale="70" zoomScaleNormal="70" workbookViewId="0">
      <selection activeCell="F88" sqref="F88"/>
    </sheetView>
  </sheetViews>
  <sheetFormatPr baseColWidth="10" defaultColWidth="8.83203125" defaultRowHeight="15" x14ac:dyDescent="0.2"/>
  <cols>
    <col min="3" max="6" width="9.1640625" bestFit="1" customWidth="1"/>
    <col min="7" max="8" width="9.1640625" customWidth="1"/>
    <col min="10" max="11" width="9.1640625" bestFit="1" customWidth="1"/>
    <col min="13" max="14" width="9.1640625" bestFit="1" customWidth="1"/>
    <col min="16" max="17" width="9.1640625" bestFit="1" customWidth="1"/>
    <col min="19" max="19" width="9.1640625" bestFit="1" customWidth="1"/>
    <col min="21" max="21" width="9.1640625" bestFit="1" customWidth="1"/>
    <col min="23" max="23" width="9.1640625" bestFit="1" customWidth="1"/>
    <col min="25" max="25" width="13.33203125" bestFit="1" customWidth="1"/>
  </cols>
  <sheetData>
    <row r="1" spans="2:25" x14ac:dyDescent="0.2">
      <c r="J1" s="57" t="s">
        <v>75</v>
      </c>
      <c r="K1" s="57"/>
      <c r="L1" s="2"/>
      <c r="M1" s="57" t="s">
        <v>0</v>
      </c>
      <c r="N1" s="57"/>
      <c r="O1" s="1"/>
      <c r="P1" s="57" t="s">
        <v>76</v>
      </c>
      <c r="Q1" s="57"/>
      <c r="R1" s="2"/>
      <c r="S1" s="3" t="s">
        <v>2</v>
      </c>
      <c r="T1" s="4"/>
      <c r="U1" s="3" t="s">
        <v>3</v>
      </c>
      <c r="V1" s="4"/>
      <c r="W1" s="3" t="s">
        <v>4</v>
      </c>
      <c r="Y1" t="s">
        <v>77</v>
      </c>
    </row>
    <row r="2" spans="2:25" x14ac:dyDescent="0.2">
      <c r="S2" s="4"/>
      <c r="T2" s="4"/>
      <c r="U2" s="3"/>
      <c r="V2" s="4"/>
      <c r="W2" s="4"/>
    </row>
    <row r="3" spans="2:25" x14ac:dyDescent="0.2">
      <c r="B3" s="31" t="s">
        <v>5</v>
      </c>
      <c r="C3" s="2" t="s">
        <v>214</v>
      </c>
      <c r="D3" s="2" t="s">
        <v>213</v>
      </c>
      <c r="E3" s="2" t="s">
        <v>215</v>
      </c>
      <c r="F3" s="2" t="s">
        <v>216</v>
      </c>
      <c r="G3" s="2"/>
      <c r="H3" s="2" t="s">
        <v>217</v>
      </c>
      <c r="J3" s="2" t="s">
        <v>6</v>
      </c>
      <c r="K3" s="2" t="s">
        <v>7</v>
      </c>
      <c r="L3" s="2"/>
      <c r="M3" s="2" t="s">
        <v>8</v>
      </c>
      <c r="N3" s="2" t="s">
        <v>9</v>
      </c>
      <c r="O3" s="2"/>
      <c r="P3" s="2" t="s">
        <v>8</v>
      </c>
      <c r="Q3" s="2" t="s">
        <v>9</v>
      </c>
      <c r="R3" s="2"/>
      <c r="S3" s="3"/>
      <c r="T3" s="3"/>
      <c r="U3" s="3"/>
      <c r="V3" s="4"/>
      <c r="W3" s="4"/>
    </row>
    <row r="4" spans="2:25" x14ac:dyDescent="0.2">
      <c r="B4" s="46"/>
      <c r="C4" s="6">
        <v>-0.9</v>
      </c>
      <c r="D4" s="6">
        <v>5</v>
      </c>
      <c r="E4" s="6">
        <v>0</v>
      </c>
      <c r="F4" s="6">
        <v>1000</v>
      </c>
      <c r="G4" s="6"/>
      <c r="H4" s="6">
        <v>100</v>
      </c>
      <c r="S4" s="4"/>
      <c r="T4" s="4"/>
      <c r="U4" s="3"/>
      <c r="V4" s="4"/>
      <c r="W4" s="4"/>
    </row>
    <row r="5" spans="2:25" x14ac:dyDescent="0.2">
      <c r="B5" s="46"/>
      <c r="C5" s="6">
        <v>-0.9</v>
      </c>
      <c r="D5" s="6">
        <v>10</v>
      </c>
      <c r="E5" s="6">
        <v>0</v>
      </c>
      <c r="F5" s="6">
        <v>1000</v>
      </c>
      <c r="G5" s="6"/>
      <c r="H5" s="6">
        <v>100</v>
      </c>
      <c r="S5" s="4"/>
      <c r="T5" s="4"/>
      <c r="U5" s="3"/>
      <c r="V5" s="4"/>
      <c r="W5" s="4"/>
    </row>
    <row r="6" spans="2:25" x14ac:dyDescent="0.2">
      <c r="B6" s="46"/>
      <c r="C6" s="6">
        <v>-0.9</v>
      </c>
      <c r="D6" s="6">
        <v>25</v>
      </c>
      <c r="E6" s="6">
        <v>0</v>
      </c>
      <c r="F6" s="6">
        <v>1000</v>
      </c>
      <c r="G6" s="6"/>
      <c r="H6" s="6">
        <v>100</v>
      </c>
      <c r="S6" s="4"/>
      <c r="T6" s="4"/>
      <c r="U6" s="4"/>
      <c r="V6" s="4"/>
      <c r="W6" s="4"/>
    </row>
    <row r="7" spans="2:25" x14ac:dyDescent="0.2">
      <c r="B7" t="s">
        <v>132</v>
      </c>
      <c r="C7" s="6">
        <v>-0.9</v>
      </c>
      <c r="D7" s="6">
        <v>50</v>
      </c>
      <c r="E7" s="6">
        <v>0</v>
      </c>
      <c r="F7" s="6">
        <v>1000</v>
      </c>
      <c r="G7" s="6"/>
      <c r="H7" s="6">
        <v>100</v>
      </c>
      <c r="J7">
        <v>6.4999999999999997E-3</v>
      </c>
      <c r="K7">
        <v>5.4999999999999997E-3</v>
      </c>
      <c r="M7">
        <f t="shared" ref="M7:N11" si="0">J7*4.44</f>
        <v>2.886E-2</v>
      </c>
      <c r="N7">
        <f t="shared" si="0"/>
        <v>2.4420000000000001E-2</v>
      </c>
      <c r="P7">
        <f t="shared" ref="P7:P11" si="1">M7/58.93</f>
        <v>4.8973358221618868E-4</v>
      </c>
      <c r="Q7">
        <f t="shared" ref="Q7:Q11" si="2">N7/58.69</f>
        <v>4.160845118418811E-4</v>
      </c>
      <c r="S7" s="4">
        <f t="shared" ref="S7:S11" si="3">P7/Q7</f>
        <v>1.1770050753590544</v>
      </c>
      <c r="T7" s="4"/>
      <c r="U7" s="4">
        <f t="shared" ref="U7:U11" si="4">P7*100/(P7+Q7)</f>
        <v>54.065334467120181</v>
      </c>
      <c r="V7" s="4"/>
      <c r="W7" s="44">
        <f t="shared" ref="W7:W11" si="5">M7+N7</f>
        <v>5.3280000000000001E-2</v>
      </c>
      <c r="Y7" s="42">
        <f>(P7+Q7)/1000000</f>
        <v>9.0581809405806976E-10</v>
      </c>
    </row>
    <row r="8" spans="2:25" x14ac:dyDescent="0.2">
      <c r="B8" t="s">
        <v>133</v>
      </c>
      <c r="C8" s="6">
        <v>-0.9</v>
      </c>
      <c r="D8" s="6">
        <v>100</v>
      </c>
      <c r="E8" s="6">
        <v>0</v>
      </c>
      <c r="F8" s="6">
        <v>1000</v>
      </c>
      <c r="G8" s="6"/>
      <c r="H8" s="6">
        <v>100</v>
      </c>
      <c r="J8">
        <v>5.3E-3</v>
      </c>
      <c r="K8">
        <v>4.7999999999999996E-3</v>
      </c>
      <c r="M8">
        <f t="shared" si="0"/>
        <v>2.3532000000000001E-2</v>
      </c>
      <c r="N8">
        <f t="shared" si="0"/>
        <v>2.1312000000000001E-2</v>
      </c>
      <c r="P8">
        <f t="shared" si="1"/>
        <v>3.9932122857627695E-4</v>
      </c>
      <c r="Q8">
        <f t="shared" si="2"/>
        <v>3.631283012438235E-4</v>
      </c>
      <c r="S8" s="4">
        <f t="shared" si="3"/>
        <v>1.0996698059845014</v>
      </c>
      <c r="T8" s="4"/>
      <c r="U8" s="4">
        <f t="shared" si="4"/>
        <v>52.373463810843525</v>
      </c>
      <c r="V8" s="4"/>
      <c r="W8" s="44">
        <f t="shared" si="5"/>
        <v>4.4844000000000002E-2</v>
      </c>
      <c r="Y8" s="42">
        <f t="shared" ref="Y8:Y59" si="6">(P8+Q8)/1000000</f>
        <v>7.6244952982010048E-10</v>
      </c>
    </row>
    <row r="9" spans="2:25" x14ac:dyDescent="0.2">
      <c r="B9" t="s">
        <v>134</v>
      </c>
      <c r="C9" s="6">
        <v>-0.9</v>
      </c>
      <c r="D9" s="6">
        <v>250</v>
      </c>
      <c r="E9" s="6">
        <v>0</v>
      </c>
      <c r="F9" s="6">
        <v>1000</v>
      </c>
      <c r="G9" s="6"/>
      <c r="H9" s="6">
        <v>100</v>
      </c>
      <c r="J9">
        <v>4.7999999999999996E-3</v>
      </c>
      <c r="K9">
        <v>4.3E-3</v>
      </c>
      <c r="M9">
        <f t="shared" si="0"/>
        <v>2.1312000000000001E-2</v>
      </c>
      <c r="N9">
        <f t="shared" si="0"/>
        <v>1.9092000000000001E-2</v>
      </c>
      <c r="P9">
        <f t="shared" si="1"/>
        <v>3.6164941455964705E-4</v>
      </c>
      <c r="Q9">
        <f t="shared" si="2"/>
        <v>3.2530243653092526E-4</v>
      </c>
      <c r="S9" s="4">
        <f t="shared" si="3"/>
        <v>1.1117328797666919</v>
      </c>
      <c r="T9" s="4"/>
      <c r="U9" s="4">
        <f t="shared" si="4"/>
        <v>52.645525881546071</v>
      </c>
      <c r="V9" s="4"/>
      <c r="W9" s="44">
        <f t="shared" si="5"/>
        <v>4.0404000000000002E-2</v>
      </c>
      <c r="Y9" s="42">
        <f t="shared" si="6"/>
        <v>6.8695185109057225E-10</v>
      </c>
    </row>
    <row r="10" spans="2:25" x14ac:dyDescent="0.2">
      <c r="B10" t="s">
        <v>135</v>
      </c>
      <c r="C10" s="6">
        <v>-0.9</v>
      </c>
      <c r="D10" s="6">
        <v>500</v>
      </c>
      <c r="E10" s="6">
        <v>0</v>
      </c>
      <c r="F10" s="6">
        <v>1000</v>
      </c>
      <c r="G10" s="6"/>
      <c r="H10" s="6">
        <v>100</v>
      </c>
      <c r="J10">
        <v>3.7000000000000002E-3</v>
      </c>
      <c r="K10">
        <v>3.2000000000000002E-3</v>
      </c>
      <c r="M10">
        <f t="shared" si="0"/>
        <v>1.6428000000000002E-2</v>
      </c>
      <c r="N10">
        <f t="shared" si="0"/>
        <v>1.4208000000000002E-2</v>
      </c>
      <c r="P10">
        <f t="shared" si="1"/>
        <v>2.7877142372306128E-4</v>
      </c>
      <c r="Q10">
        <f t="shared" si="2"/>
        <v>2.4208553416254903E-4</v>
      </c>
      <c r="S10" s="4">
        <f t="shared" si="3"/>
        <v>1.1515410232479211</v>
      </c>
      <c r="T10" s="4"/>
      <c r="U10" s="4">
        <f t="shared" si="4"/>
        <v>53.521685657175105</v>
      </c>
      <c r="V10" s="4"/>
      <c r="W10" s="44">
        <f t="shared" si="5"/>
        <v>3.0636000000000004E-2</v>
      </c>
      <c r="Y10" s="42">
        <f t="shared" si="6"/>
        <v>5.2085695788561034E-10</v>
      </c>
    </row>
    <row r="11" spans="2:25" x14ac:dyDescent="0.2">
      <c r="B11" t="s">
        <v>136</v>
      </c>
      <c r="C11" s="6">
        <v>-0.9</v>
      </c>
      <c r="D11" s="6">
        <v>1000</v>
      </c>
      <c r="E11" s="6">
        <v>0</v>
      </c>
      <c r="F11" s="6">
        <v>1000</v>
      </c>
      <c r="G11" s="6"/>
      <c r="H11" s="6">
        <v>100</v>
      </c>
      <c r="J11">
        <v>5.1000000000000004E-3</v>
      </c>
      <c r="K11">
        <v>4.7000000000000002E-3</v>
      </c>
      <c r="M11">
        <f t="shared" si="0"/>
        <v>2.2644000000000004E-2</v>
      </c>
      <c r="N11">
        <f t="shared" si="0"/>
        <v>2.0868000000000001E-2</v>
      </c>
      <c r="P11">
        <f t="shared" si="1"/>
        <v>3.8425250296962506E-4</v>
      </c>
      <c r="Q11">
        <f t="shared" si="2"/>
        <v>3.5556312830124385E-4</v>
      </c>
      <c r="S11" s="4">
        <f t="shared" si="3"/>
        <v>1.0806871477519309</v>
      </c>
      <c r="T11" s="4"/>
      <c r="U11" s="4">
        <f t="shared" si="4"/>
        <v>51.938954345902239</v>
      </c>
      <c r="V11" s="4"/>
      <c r="W11" s="44">
        <f t="shared" si="5"/>
        <v>4.3512000000000009E-2</v>
      </c>
      <c r="Y11" s="42">
        <f t="shared" si="6"/>
        <v>7.3981563127086893E-10</v>
      </c>
    </row>
    <row r="12" spans="2:25" x14ac:dyDescent="0.2">
      <c r="B12" s="47"/>
      <c r="C12" s="11">
        <v>-1</v>
      </c>
      <c r="D12" s="11">
        <v>5</v>
      </c>
      <c r="E12" s="11">
        <v>0</v>
      </c>
      <c r="F12" s="11">
        <v>1000</v>
      </c>
      <c r="G12" s="11"/>
      <c r="H12" s="11">
        <v>100</v>
      </c>
      <c r="S12" s="4"/>
      <c r="T12" s="4"/>
      <c r="U12" s="4"/>
      <c r="V12" s="4"/>
      <c r="W12" s="4"/>
    </row>
    <row r="13" spans="2:25" x14ac:dyDescent="0.2">
      <c r="B13" s="47"/>
      <c r="C13" s="11">
        <v>-1</v>
      </c>
      <c r="D13" s="11">
        <v>10</v>
      </c>
      <c r="E13" s="11">
        <v>0</v>
      </c>
      <c r="F13" s="11">
        <v>1000</v>
      </c>
      <c r="G13" s="11"/>
      <c r="H13" s="11">
        <v>100</v>
      </c>
      <c r="S13" s="4"/>
      <c r="T13" s="4"/>
      <c r="U13" s="4"/>
      <c r="V13" s="4"/>
      <c r="W13" s="4"/>
    </row>
    <row r="14" spans="2:25" x14ac:dyDescent="0.2">
      <c r="B14" s="47"/>
      <c r="C14" s="11">
        <v>-1</v>
      </c>
      <c r="D14" s="11">
        <v>25</v>
      </c>
      <c r="E14" s="11">
        <v>0</v>
      </c>
      <c r="F14" s="11">
        <v>1000</v>
      </c>
      <c r="G14" s="11"/>
      <c r="H14" s="11">
        <v>100</v>
      </c>
      <c r="S14" s="4"/>
      <c r="T14" s="4"/>
      <c r="U14" s="4"/>
      <c r="V14" s="4"/>
      <c r="W14" s="4"/>
    </row>
    <row r="15" spans="2:25" x14ac:dyDescent="0.2">
      <c r="B15" t="s">
        <v>137</v>
      </c>
      <c r="C15" s="11">
        <v>-1</v>
      </c>
      <c r="D15" s="11">
        <v>50</v>
      </c>
      <c r="E15" s="11">
        <v>0</v>
      </c>
      <c r="F15" s="11">
        <v>1000</v>
      </c>
      <c r="G15" s="11"/>
      <c r="H15" s="11">
        <v>100</v>
      </c>
      <c r="J15">
        <v>1.0800000000000001E-2</v>
      </c>
      <c r="K15">
        <v>5.4000000000000003E-3</v>
      </c>
      <c r="M15">
        <f t="shared" ref="M15:N59" si="7">J15*4.44</f>
        <v>4.7952000000000009E-2</v>
      </c>
      <c r="N15">
        <f t="shared" si="7"/>
        <v>2.3976000000000004E-2</v>
      </c>
      <c r="P15">
        <f t="shared" ref="P15:P59" si="8">M15/58.93</f>
        <v>8.1371118275920594E-4</v>
      </c>
      <c r="Q15">
        <f t="shared" ref="Q15:Q59" si="9">N15/58.69</f>
        <v>4.0851933889930151E-4</v>
      </c>
      <c r="S15" s="4">
        <f t="shared" ref="S15:S59" si="10">P15/Q15</f>
        <v>1.9918547429153231</v>
      </c>
      <c r="T15" s="4"/>
      <c r="U15" s="4">
        <f t="shared" ref="U15:U59" si="11">P15*100/(P15+Q15)</f>
        <v>66.575917418183877</v>
      </c>
      <c r="V15" s="4"/>
      <c r="W15" s="44">
        <f t="shared" ref="W15:W59" si="12">M15+N15</f>
        <v>7.192800000000002E-2</v>
      </c>
      <c r="Y15" s="42">
        <f t="shared" si="6"/>
        <v>1.2222305216585075E-9</v>
      </c>
    </row>
    <row r="16" spans="2:25" x14ac:dyDescent="0.2">
      <c r="B16" t="s">
        <v>138</v>
      </c>
      <c r="C16" s="11">
        <v>-1</v>
      </c>
      <c r="D16" s="11">
        <v>100</v>
      </c>
      <c r="E16" s="11">
        <v>0</v>
      </c>
      <c r="F16" s="11">
        <v>1000</v>
      </c>
      <c r="G16" s="11"/>
      <c r="H16" s="11">
        <v>100</v>
      </c>
      <c r="J16">
        <v>1.15E-2</v>
      </c>
      <c r="K16">
        <v>8.6999999999999994E-3</v>
      </c>
      <c r="M16">
        <f t="shared" si="7"/>
        <v>5.1060000000000001E-2</v>
      </c>
      <c r="N16">
        <f t="shared" si="7"/>
        <v>3.8628000000000003E-2</v>
      </c>
      <c r="P16">
        <f t="shared" si="8"/>
        <v>8.6645172238248777E-4</v>
      </c>
      <c r="Q16">
        <f t="shared" si="9"/>
        <v>6.5817004600443011E-4</v>
      </c>
      <c r="S16" s="4">
        <f t="shared" si="10"/>
        <v>1.3164557208923113</v>
      </c>
      <c r="T16" s="4"/>
      <c r="U16" s="4">
        <f t="shared" si="11"/>
        <v>56.830601553014169</v>
      </c>
      <c r="V16" s="4"/>
      <c r="W16" s="44">
        <f t="shared" si="12"/>
        <v>8.9688000000000004E-2</v>
      </c>
      <c r="Y16" s="42">
        <f t="shared" si="6"/>
        <v>1.5246217683869179E-9</v>
      </c>
    </row>
    <row r="17" spans="2:25" x14ac:dyDescent="0.2">
      <c r="B17" t="s">
        <v>139</v>
      </c>
      <c r="C17" s="11">
        <v>-1</v>
      </c>
      <c r="D17" s="11">
        <v>250</v>
      </c>
      <c r="E17" s="11">
        <v>0</v>
      </c>
      <c r="F17" s="11">
        <v>1000</v>
      </c>
      <c r="G17" s="11"/>
      <c r="H17" s="11">
        <v>100</v>
      </c>
      <c r="J17">
        <v>6.1000000000000004E-3</v>
      </c>
      <c r="K17">
        <v>3.8999999999999998E-3</v>
      </c>
      <c r="M17">
        <f t="shared" si="7"/>
        <v>2.7084000000000004E-2</v>
      </c>
      <c r="N17">
        <f t="shared" si="7"/>
        <v>1.7316000000000002E-2</v>
      </c>
      <c r="P17">
        <f t="shared" si="8"/>
        <v>4.5959613100288486E-4</v>
      </c>
      <c r="Q17">
        <f t="shared" si="9"/>
        <v>2.950417447606066E-4</v>
      </c>
      <c r="S17" s="4">
        <f t="shared" si="10"/>
        <v>1.5577325553568555</v>
      </c>
      <c r="T17" s="4"/>
      <c r="U17" s="4">
        <f t="shared" si="11"/>
        <v>60.902870868745708</v>
      </c>
      <c r="V17" s="4"/>
      <c r="W17" s="44">
        <f t="shared" si="12"/>
        <v>4.4400000000000009E-2</v>
      </c>
      <c r="Y17" s="42">
        <f t="shared" si="6"/>
        <v>7.5463787576349147E-10</v>
      </c>
    </row>
    <row r="18" spans="2:25" x14ac:dyDescent="0.2">
      <c r="B18" t="s">
        <v>140</v>
      </c>
      <c r="C18" s="11">
        <v>-1</v>
      </c>
      <c r="D18" s="11">
        <v>500</v>
      </c>
      <c r="E18" s="11">
        <v>0</v>
      </c>
      <c r="F18" s="11">
        <v>1000</v>
      </c>
      <c r="G18" s="11"/>
      <c r="H18" s="11">
        <v>100</v>
      </c>
      <c r="J18">
        <v>0.11849999999999999</v>
      </c>
      <c r="K18">
        <v>1.9E-2</v>
      </c>
      <c r="M18">
        <f t="shared" si="7"/>
        <v>0.52614000000000005</v>
      </c>
      <c r="N18">
        <f t="shared" si="7"/>
        <v>8.4360000000000004E-2</v>
      </c>
      <c r="P18">
        <f t="shared" si="8"/>
        <v>8.9282199219412866E-3</v>
      </c>
      <c r="Q18">
        <f t="shared" si="9"/>
        <v>1.4373828590901348E-3</v>
      </c>
      <c r="S18" s="4">
        <f t="shared" si="10"/>
        <v>6.2114417640912043</v>
      </c>
      <c r="T18" s="4"/>
      <c r="U18" s="4">
        <f t="shared" si="11"/>
        <v>86.133147396690902</v>
      </c>
      <c r="V18" s="4"/>
      <c r="W18" s="4">
        <f t="shared" si="12"/>
        <v>0.61050000000000004</v>
      </c>
      <c r="Y18">
        <f t="shared" si="6"/>
        <v>1.0365602781031421E-8</v>
      </c>
    </row>
    <row r="19" spans="2:25" x14ac:dyDescent="0.2">
      <c r="B19" t="s">
        <v>141</v>
      </c>
      <c r="C19" s="11">
        <v>-1</v>
      </c>
      <c r="D19" s="11">
        <v>1000</v>
      </c>
      <c r="E19" s="11">
        <v>0</v>
      </c>
      <c r="F19" s="11">
        <v>1000</v>
      </c>
      <c r="G19" s="11"/>
      <c r="H19" s="11">
        <v>100</v>
      </c>
      <c r="J19">
        <v>0.28179999999999999</v>
      </c>
      <c r="K19">
        <v>3.6900000000000002E-2</v>
      </c>
      <c r="M19">
        <f t="shared" si="7"/>
        <v>1.2511920000000001</v>
      </c>
      <c r="N19">
        <f t="shared" si="7"/>
        <v>0.16383600000000004</v>
      </c>
      <c r="P19">
        <f t="shared" si="8"/>
        <v>2.1231834379772614E-2</v>
      </c>
      <c r="Q19">
        <f t="shared" si="9"/>
        <v>2.7915488158118938E-3</v>
      </c>
      <c r="S19" s="4">
        <f t="shared" si="10"/>
        <v>7.6057542893433334</v>
      </c>
      <c r="T19" s="4"/>
      <c r="U19" s="4">
        <f t="shared" si="11"/>
        <v>88.379868093162756</v>
      </c>
      <c r="V19" s="4"/>
      <c r="W19" s="4">
        <f t="shared" si="12"/>
        <v>1.4150280000000002</v>
      </c>
      <c r="Y19">
        <f t="shared" si="6"/>
        <v>2.4023383195584509E-8</v>
      </c>
    </row>
    <row r="20" spans="2:25" x14ac:dyDescent="0.2">
      <c r="B20" s="48"/>
      <c r="C20" s="14">
        <v>-1.1000000000000001</v>
      </c>
      <c r="D20" s="14">
        <v>5</v>
      </c>
      <c r="E20" s="14">
        <v>0</v>
      </c>
      <c r="F20" s="14">
        <v>1000</v>
      </c>
      <c r="G20" s="14"/>
      <c r="H20" s="14">
        <v>100</v>
      </c>
      <c r="S20" s="4"/>
      <c r="T20" s="4"/>
      <c r="U20" s="4"/>
      <c r="V20" s="4"/>
      <c r="W20" s="4"/>
    </row>
    <row r="21" spans="2:25" x14ac:dyDescent="0.2">
      <c r="B21" s="48"/>
      <c r="C21" s="14">
        <v>-1.1000000000000001</v>
      </c>
      <c r="D21" s="14">
        <v>10</v>
      </c>
      <c r="E21" s="14">
        <v>0</v>
      </c>
      <c r="F21" s="14">
        <v>1000</v>
      </c>
      <c r="G21" s="14"/>
      <c r="H21" s="14">
        <v>100</v>
      </c>
      <c r="S21" s="4"/>
      <c r="T21" s="4"/>
      <c r="U21" s="4"/>
      <c r="V21" s="4"/>
      <c r="W21" s="4"/>
    </row>
    <row r="22" spans="2:25" x14ac:dyDescent="0.2">
      <c r="B22" s="48"/>
      <c r="C22" s="14">
        <v>-1.1000000000000001</v>
      </c>
      <c r="D22" s="14">
        <v>25</v>
      </c>
      <c r="E22" s="14">
        <v>0</v>
      </c>
      <c r="F22" s="14">
        <v>1000</v>
      </c>
      <c r="G22" s="14"/>
      <c r="H22" s="14">
        <v>100</v>
      </c>
      <c r="S22" s="4"/>
      <c r="T22" s="4"/>
      <c r="U22" s="4"/>
      <c r="V22" s="4"/>
      <c r="W22" s="4"/>
    </row>
    <row r="23" spans="2:25" x14ac:dyDescent="0.2">
      <c r="B23" t="s">
        <v>142</v>
      </c>
      <c r="C23" s="14">
        <v>-1.1000000000000001</v>
      </c>
      <c r="D23" s="14">
        <v>50</v>
      </c>
      <c r="E23" s="14">
        <v>0</v>
      </c>
      <c r="F23" s="14">
        <v>1000</v>
      </c>
      <c r="G23" s="14"/>
      <c r="H23" s="14">
        <v>100</v>
      </c>
      <c r="J23">
        <v>4.5999999999999999E-3</v>
      </c>
      <c r="K23">
        <v>3.0999999999999999E-3</v>
      </c>
      <c r="M23">
        <f t="shared" si="7"/>
        <v>2.0424000000000001E-2</v>
      </c>
      <c r="N23">
        <f t="shared" si="7"/>
        <v>1.3764E-2</v>
      </c>
      <c r="P23">
        <f t="shared" si="8"/>
        <v>3.4658068895299511E-4</v>
      </c>
      <c r="Q23">
        <f t="shared" si="9"/>
        <v>2.3452036121996935E-4</v>
      </c>
      <c r="S23" s="4">
        <f t="shared" si="10"/>
        <v>1.4778277124855623</v>
      </c>
      <c r="T23" s="4"/>
      <c r="U23" s="4">
        <f t="shared" si="11"/>
        <v>59.642068939616529</v>
      </c>
      <c r="V23" s="4"/>
      <c r="W23" s="44">
        <f t="shared" si="12"/>
        <v>3.4188000000000003E-2</v>
      </c>
      <c r="Y23" s="42">
        <f t="shared" si="6"/>
        <v>5.8110105017296441E-10</v>
      </c>
    </row>
    <row r="24" spans="2:25" x14ac:dyDescent="0.2">
      <c r="B24" t="s">
        <v>143</v>
      </c>
      <c r="C24" s="14">
        <v>-1.1000000000000001</v>
      </c>
      <c r="D24" s="14">
        <v>100</v>
      </c>
      <c r="E24" s="14">
        <v>0</v>
      </c>
      <c r="F24" s="14">
        <v>1000</v>
      </c>
      <c r="G24" s="14"/>
      <c r="H24" s="14">
        <v>100</v>
      </c>
      <c r="J24">
        <v>1.4E-2</v>
      </c>
      <c r="K24">
        <v>4.1999999999999997E-3</v>
      </c>
      <c r="M24">
        <f t="shared" si="7"/>
        <v>6.2160000000000007E-2</v>
      </c>
      <c r="N24">
        <f t="shared" si="7"/>
        <v>1.8648000000000001E-2</v>
      </c>
      <c r="P24">
        <f t="shared" si="8"/>
        <v>1.0548107924656374E-3</v>
      </c>
      <c r="Q24">
        <f t="shared" si="9"/>
        <v>3.1773726358834561E-4</v>
      </c>
      <c r="S24" s="4">
        <f t="shared" si="10"/>
        <v>3.3197579048588719</v>
      </c>
      <c r="T24" s="4"/>
      <c r="U24" s="4">
        <f t="shared" si="11"/>
        <v>76.850554544383186</v>
      </c>
      <c r="V24" s="4"/>
      <c r="W24" s="44">
        <f t="shared" si="12"/>
        <v>8.0808000000000005E-2</v>
      </c>
      <c r="Y24" s="42">
        <f t="shared" si="6"/>
        <v>1.3725480560539829E-9</v>
      </c>
    </row>
    <row r="25" spans="2:25" x14ac:dyDescent="0.2">
      <c r="B25" t="s">
        <v>144</v>
      </c>
      <c r="C25" s="14">
        <v>-1.1000000000000001</v>
      </c>
      <c r="D25" s="14">
        <v>250</v>
      </c>
      <c r="E25" s="14">
        <v>0</v>
      </c>
      <c r="F25" s="14">
        <v>1000</v>
      </c>
      <c r="G25" s="14"/>
      <c r="H25" s="14">
        <v>100</v>
      </c>
      <c r="J25">
        <v>0.25369999999999998</v>
      </c>
      <c r="K25">
        <v>3.9199999999999999E-2</v>
      </c>
      <c r="M25">
        <f t="shared" si="7"/>
        <v>1.126428</v>
      </c>
      <c r="N25">
        <f t="shared" si="7"/>
        <v>0.17404800000000001</v>
      </c>
      <c r="P25">
        <f t="shared" si="8"/>
        <v>1.9114678432038013E-2</v>
      </c>
      <c r="Q25">
        <f t="shared" si="9"/>
        <v>2.9655477934912252E-3</v>
      </c>
      <c r="S25" s="4">
        <f t="shared" si="10"/>
        <v>6.4455809729287949</v>
      </c>
      <c r="T25" s="4"/>
      <c r="U25" s="4">
        <f t="shared" si="11"/>
        <v>86.56921463031729</v>
      </c>
      <c r="V25" s="4"/>
      <c r="W25" s="4">
        <f t="shared" si="12"/>
        <v>1.300476</v>
      </c>
      <c r="Y25">
        <f t="shared" si="6"/>
        <v>2.2080226225529238E-8</v>
      </c>
    </row>
    <row r="26" spans="2:25" x14ac:dyDescent="0.2">
      <c r="B26" t="s">
        <v>145</v>
      </c>
      <c r="C26" s="14">
        <v>-1.1000000000000001</v>
      </c>
      <c r="D26" s="14">
        <v>500</v>
      </c>
      <c r="E26" s="14">
        <v>0</v>
      </c>
      <c r="F26" s="14">
        <v>1000</v>
      </c>
      <c r="G26" s="14"/>
      <c r="H26" s="14">
        <v>100</v>
      </c>
      <c r="J26">
        <v>0.4007</v>
      </c>
      <c r="K26">
        <v>7.3599999999999999E-2</v>
      </c>
      <c r="M26">
        <f t="shared" si="7"/>
        <v>1.7791080000000001</v>
      </c>
      <c r="N26">
        <f t="shared" si="7"/>
        <v>0.32678400000000002</v>
      </c>
      <c r="P26">
        <f t="shared" si="8"/>
        <v>3.0190191752927205E-2</v>
      </c>
      <c r="Q26">
        <f t="shared" si="9"/>
        <v>5.5679672857386273E-3</v>
      </c>
      <c r="S26" s="4">
        <f t="shared" si="10"/>
        <v>5.4221208932484375</v>
      </c>
      <c r="T26" s="4"/>
      <c r="U26" s="4">
        <f t="shared" si="11"/>
        <v>84.428820063924704</v>
      </c>
      <c r="V26" s="4"/>
      <c r="W26" s="4">
        <f t="shared" si="12"/>
        <v>2.1058920000000003</v>
      </c>
      <c r="Y26">
        <f t="shared" si="6"/>
        <v>3.5758159038665832E-8</v>
      </c>
    </row>
    <row r="27" spans="2:25" x14ac:dyDescent="0.2">
      <c r="B27" t="s">
        <v>146</v>
      </c>
      <c r="C27" s="14">
        <v>-1.1000000000000001</v>
      </c>
      <c r="D27" s="14">
        <v>1000</v>
      </c>
      <c r="E27" s="14">
        <v>0</v>
      </c>
      <c r="F27" s="14">
        <v>1000</v>
      </c>
      <c r="G27" s="14"/>
      <c r="H27" s="14">
        <v>100</v>
      </c>
      <c r="J27">
        <v>0.74419999999999997</v>
      </c>
      <c r="K27">
        <v>0.156</v>
      </c>
      <c r="M27">
        <f t="shared" si="7"/>
        <v>3.3042480000000003</v>
      </c>
      <c r="N27">
        <f t="shared" si="7"/>
        <v>0.69264000000000003</v>
      </c>
      <c r="P27">
        <f t="shared" si="8"/>
        <v>5.6070727982351951E-2</v>
      </c>
      <c r="Q27">
        <f t="shared" si="9"/>
        <v>1.1801669790424263E-2</v>
      </c>
      <c r="S27" s="4">
        <f t="shared" si="10"/>
        <v>4.7510842938384092</v>
      </c>
      <c r="T27" s="4"/>
      <c r="U27" s="4">
        <f t="shared" si="11"/>
        <v>82.611974561538261</v>
      </c>
      <c r="V27" s="4"/>
      <c r="W27" s="4">
        <f t="shared" si="12"/>
        <v>3.9968880000000002</v>
      </c>
      <c r="Y27">
        <f t="shared" si="6"/>
        <v>6.7872397772776214E-8</v>
      </c>
    </row>
    <row r="28" spans="2:25" x14ac:dyDescent="0.2">
      <c r="B28" s="49"/>
      <c r="C28" s="17">
        <v>-1.2</v>
      </c>
      <c r="D28" s="17">
        <v>5</v>
      </c>
      <c r="E28" s="17">
        <v>0</v>
      </c>
      <c r="F28" s="17">
        <v>1000</v>
      </c>
      <c r="G28" s="17"/>
      <c r="H28" s="17">
        <v>100</v>
      </c>
      <c r="S28" s="4"/>
      <c r="T28" s="4"/>
      <c r="U28" s="4"/>
      <c r="V28" s="4"/>
      <c r="W28" s="4"/>
    </row>
    <row r="29" spans="2:25" x14ac:dyDescent="0.2">
      <c r="B29" s="49"/>
      <c r="C29" s="17">
        <v>-1.2</v>
      </c>
      <c r="D29" s="17">
        <v>10</v>
      </c>
      <c r="E29" s="17">
        <v>0</v>
      </c>
      <c r="F29" s="17">
        <v>1000</v>
      </c>
      <c r="G29" s="17"/>
      <c r="H29" s="17">
        <v>100</v>
      </c>
      <c r="S29" s="4"/>
      <c r="T29" s="4"/>
      <c r="U29" s="4"/>
      <c r="V29" s="4"/>
      <c r="W29" s="4"/>
    </row>
    <row r="30" spans="2:25" x14ac:dyDescent="0.2">
      <c r="B30" s="49"/>
      <c r="C30" s="17">
        <v>-1.2</v>
      </c>
      <c r="D30" s="17">
        <v>25</v>
      </c>
      <c r="E30" s="17">
        <v>0</v>
      </c>
      <c r="F30" s="17">
        <v>1000</v>
      </c>
      <c r="G30" s="17"/>
      <c r="H30" s="17">
        <v>100</v>
      </c>
      <c r="S30" s="4"/>
      <c r="T30" s="4"/>
      <c r="U30" s="4"/>
      <c r="V30" s="4"/>
      <c r="W30" s="4"/>
    </row>
    <row r="31" spans="2:25" x14ac:dyDescent="0.2">
      <c r="B31" t="s">
        <v>147</v>
      </c>
      <c r="C31" s="17">
        <v>-1.2</v>
      </c>
      <c r="D31" s="17">
        <v>50</v>
      </c>
      <c r="E31" s="17">
        <v>0</v>
      </c>
      <c r="F31" s="17">
        <v>1000</v>
      </c>
      <c r="G31" s="17"/>
      <c r="H31" s="17">
        <v>100</v>
      </c>
      <c r="J31">
        <v>2.7300000000000001E-2</v>
      </c>
      <c r="K31">
        <v>1.2200000000000001E-2</v>
      </c>
      <c r="M31">
        <f t="shared" si="7"/>
        <v>0.12121200000000001</v>
      </c>
      <c r="N31">
        <f t="shared" si="7"/>
        <v>5.4168000000000008E-2</v>
      </c>
      <c r="P31">
        <f t="shared" si="8"/>
        <v>2.0568810453079926E-3</v>
      </c>
      <c r="Q31">
        <f t="shared" si="9"/>
        <v>9.2295109899471822E-4</v>
      </c>
      <c r="S31" s="4">
        <f t="shared" si="10"/>
        <v>2.2285915771142752</v>
      </c>
      <c r="T31" s="4"/>
      <c r="U31" s="4">
        <f t="shared" si="11"/>
        <v>69.026741967350262</v>
      </c>
      <c r="V31" s="4"/>
      <c r="W31" s="44">
        <f t="shared" si="12"/>
        <v>0.17538000000000004</v>
      </c>
      <c r="Y31" s="42">
        <f t="shared" si="6"/>
        <v>2.9798321443027107E-9</v>
      </c>
    </row>
    <row r="32" spans="2:25" x14ac:dyDescent="0.2">
      <c r="B32" t="s">
        <v>148</v>
      </c>
      <c r="C32" s="17">
        <v>-1.2</v>
      </c>
      <c r="D32" s="17">
        <v>100</v>
      </c>
      <c r="E32" s="17">
        <v>0</v>
      </c>
      <c r="F32" s="17">
        <v>1000</v>
      </c>
      <c r="G32" s="17"/>
      <c r="H32" s="17">
        <v>100</v>
      </c>
      <c r="J32">
        <v>0.27439999999999998</v>
      </c>
      <c r="K32">
        <v>5.8299999999999998E-2</v>
      </c>
      <c r="M32">
        <f t="shared" si="7"/>
        <v>1.2183360000000001</v>
      </c>
      <c r="N32">
        <f t="shared" si="7"/>
        <v>0.25885200000000003</v>
      </c>
      <c r="P32">
        <f t="shared" si="8"/>
        <v>2.0674291532326489E-2</v>
      </c>
      <c r="Q32">
        <f t="shared" si="9"/>
        <v>4.4104958255239404E-3</v>
      </c>
      <c r="S32" s="4">
        <f t="shared" si="10"/>
        <v>4.6875209387303993</v>
      </c>
      <c r="T32" s="4"/>
      <c r="U32" s="4">
        <f t="shared" si="11"/>
        <v>82.417647147630092</v>
      </c>
      <c r="V32" s="4"/>
      <c r="W32" s="4">
        <f t="shared" si="12"/>
        <v>1.4771880000000002</v>
      </c>
      <c r="Y32">
        <f t="shared" si="6"/>
        <v>2.5084787357850431E-8</v>
      </c>
    </row>
    <row r="33" spans="2:25" x14ac:dyDescent="0.2">
      <c r="B33" t="s">
        <v>149</v>
      </c>
      <c r="C33" s="17">
        <v>-1.2</v>
      </c>
      <c r="D33" s="17">
        <v>250</v>
      </c>
      <c r="E33" s="17">
        <v>0</v>
      </c>
      <c r="F33" s="17">
        <v>1000</v>
      </c>
      <c r="G33" s="17"/>
      <c r="H33" s="17">
        <v>100</v>
      </c>
      <c r="J33">
        <v>0.43719999999999998</v>
      </c>
      <c r="K33">
        <v>0.1226</v>
      </c>
      <c r="M33">
        <f t="shared" si="7"/>
        <v>1.941168</v>
      </c>
      <c r="N33">
        <f t="shared" si="7"/>
        <v>0.54434400000000005</v>
      </c>
      <c r="P33">
        <f t="shared" si="8"/>
        <v>3.2940234176141184E-2</v>
      </c>
      <c r="Q33">
        <f t="shared" si="9"/>
        <v>9.2749020276026595E-3</v>
      </c>
      <c r="S33" s="4">
        <f t="shared" si="10"/>
        <v>3.5515452430774026</v>
      </c>
      <c r="T33" s="4"/>
      <c r="U33" s="4">
        <f t="shared" si="11"/>
        <v>78.029439528895537</v>
      </c>
      <c r="V33" s="4"/>
      <c r="W33" s="4">
        <f t="shared" si="12"/>
        <v>2.4855119999999999</v>
      </c>
      <c r="Y33">
        <f t="shared" si="6"/>
        <v>4.2215136203743844E-8</v>
      </c>
    </row>
    <row r="34" spans="2:25" x14ac:dyDescent="0.2">
      <c r="B34" t="s">
        <v>150</v>
      </c>
      <c r="C34" s="17">
        <v>-1.2</v>
      </c>
      <c r="D34" s="17">
        <v>500</v>
      </c>
      <c r="E34" s="17">
        <v>0</v>
      </c>
      <c r="F34" s="17">
        <v>1000</v>
      </c>
      <c r="G34" s="17"/>
      <c r="H34" s="17">
        <v>100</v>
      </c>
      <c r="J34">
        <v>0.53480000000000005</v>
      </c>
      <c r="K34">
        <v>0.1075</v>
      </c>
      <c r="M34">
        <f t="shared" si="7"/>
        <v>2.3745120000000006</v>
      </c>
      <c r="N34">
        <f t="shared" si="7"/>
        <v>0.47730000000000006</v>
      </c>
      <c r="P34">
        <f t="shared" si="8"/>
        <v>4.0293772272187355E-2</v>
      </c>
      <c r="Q34">
        <f t="shared" si="9"/>
        <v>8.1325609132731312E-3</v>
      </c>
      <c r="S34" s="4">
        <f t="shared" si="10"/>
        <v>4.9546228674935584</v>
      </c>
      <c r="T34" s="4"/>
      <c r="U34" s="4">
        <f t="shared" si="11"/>
        <v>83.206325198879924</v>
      </c>
      <c r="V34" s="4"/>
      <c r="W34" s="4">
        <f t="shared" si="12"/>
        <v>2.8518120000000007</v>
      </c>
      <c r="Y34">
        <f t="shared" si="6"/>
        <v>4.8426333185460481E-8</v>
      </c>
    </row>
    <row r="35" spans="2:25" x14ac:dyDescent="0.2">
      <c r="B35" t="s">
        <v>151</v>
      </c>
      <c r="C35" s="17">
        <v>-1.2</v>
      </c>
      <c r="D35" s="17">
        <v>1000</v>
      </c>
      <c r="E35" s="17">
        <v>0</v>
      </c>
      <c r="F35" s="17">
        <v>1000</v>
      </c>
      <c r="G35" s="17"/>
      <c r="H35" s="17">
        <v>50</v>
      </c>
      <c r="J35">
        <v>2.3134999999999999</v>
      </c>
      <c r="K35">
        <v>1.4265000000000001</v>
      </c>
      <c r="M35">
        <f t="shared" si="7"/>
        <v>10.271940000000001</v>
      </c>
      <c r="N35">
        <f t="shared" si="7"/>
        <v>6.333660000000001</v>
      </c>
      <c r="P35">
        <f t="shared" si="8"/>
        <v>0.17430748345494657</v>
      </c>
      <c r="Q35">
        <f t="shared" si="9"/>
        <v>0.10791719202589881</v>
      </c>
      <c r="S35" s="4">
        <f t="shared" si="10"/>
        <v>1.6151966168014722</v>
      </c>
      <c r="T35" s="4"/>
      <c r="U35" s="4">
        <f t="shared" si="11"/>
        <v>61.761957262584154</v>
      </c>
      <c r="V35" s="4"/>
      <c r="W35" s="4">
        <f t="shared" si="12"/>
        <v>16.605600000000003</v>
      </c>
      <c r="Y35">
        <f t="shared" si="6"/>
        <v>2.8222467548084542E-7</v>
      </c>
    </row>
    <row r="36" spans="2:25" x14ac:dyDescent="0.2">
      <c r="B36" s="50"/>
      <c r="C36" s="20">
        <v>-1.3</v>
      </c>
      <c r="D36" s="20">
        <v>5</v>
      </c>
      <c r="E36" s="20">
        <v>0</v>
      </c>
      <c r="F36" s="20">
        <v>1000</v>
      </c>
      <c r="G36" s="20"/>
      <c r="H36" s="20">
        <v>50</v>
      </c>
      <c r="S36" s="4"/>
      <c r="T36" s="4"/>
      <c r="U36" s="4"/>
      <c r="V36" s="4"/>
      <c r="W36" s="4"/>
    </row>
    <row r="37" spans="2:25" x14ac:dyDescent="0.2">
      <c r="B37" s="50"/>
      <c r="C37" s="20">
        <v>-1.3</v>
      </c>
      <c r="D37" s="20">
        <v>10</v>
      </c>
      <c r="E37" s="20">
        <v>0</v>
      </c>
      <c r="F37" s="20">
        <v>1000</v>
      </c>
      <c r="G37" s="20"/>
      <c r="H37" s="20">
        <v>50</v>
      </c>
      <c r="S37" s="4"/>
      <c r="T37" s="4"/>
      <c r="U37" s="4"/>
      <c r="V37" s="4"/>
      <c r="W37" s="4"/>
    </row>
    <row r="38" spans="2:25" x14ac:dyDescent="0.2">
      <c r="B38" s="50"/>
      <c r="C38" s="20">
        <v>-1.3</v>
      </c>
      <c r="D38" s="20">
        <v>25</v>
      </c>
      <c r="E38" s="20">
        <v>0</v>
      </c>
      <c r="F38" s="20">
        <v>1000</v>
      </c>
      <c r="G38" s="20"/>
      <c r="H38" s="20">
        <v>50</v>
      </c>
      <c r="S38" s="4"/>
      <c r="T38" s="4"/>
      <c r="U38" s="4"/>
      <c r="V38" s="4"/>
      <c r="W38" s="4"/>
    </row>
    <row r="39" spans="2:25" x14ac:dyDescent="0.2">
      <c r="B39" t="s">
        <v>152</v>
      </c>
      <c r="C39" s="20">
        <v>-1.3</v>
      </c>
      <c r="D39" s="20">
        <v>50</v>
      </c>
      <c r="E39" s="20">
        <v>0</v>
      </c>
      <c r="F39" s="20">
        <v>1000</v>
      </c>
      <c r="G39" s="20"/>
      <c r="H39" s="20">
        <v>50</v>
      </c>
      <c r="J39">
        <v>0.1333</v>
      </c>
      <c r="K39">
        <v>3.6200000000000003E-2</v>
      </c>
      <c r="M39">
        <f t="shared" si="7"/>
        <v>0.59185200000000004</v>
      </c>
      <c r="N39">
        <f t="shared" si="7"/>
        <v>0.16072800000000004</v>
      </c>
      <c r="P39">
        <f t="shared" si="8"/>
        <v>1.0043305616833533E-2</v>
      </c>
      <c r="Q39">
        <f t="shared" si="9"/>
        <v>2.7385926052138363E-3</v>
      </c>
      <c r="S39" s="4">
        <f t="shared" si="10"/>
        <v>3.6673237186548695</v>
      </c>
      <c r="T39" s="4"/>
      <c r="U39" s="4">
        <f t="shared" si="11"/>
        <v>78.574445222149663</v>
      </c>
      <c r="V39" s="4"/>
      <c r="W39" s="4">
        <f t="shared" si="12"/>
        <v>0.75258000000000003</v>
      </c>
      <c r="Y39">
        <f t="shared" si="6"/>
        <v>1.278189822204737E-8</v>
      </c>
    </row>
    <row r="40" spans="2:25" x14ac:dyDescent="0.2">
      <c r="B40" t="s">
        <v>153</v>
      </c>
      <c r="C40" s="20">
        <v>-1.3</v>
      </c>
      <c r="D40" s="20">
        <v>100</v>
      </c>
      <c r="E40" s="20">
        <v>0</v>
      </c>
      <c r="F40" s="20">
        <v>1000</v>
      </c>
      <c r="G40" s="20"/>
      <c r="H40" s="20">
        <v>50</v>
      </c>
      <c r="J40">
        <v>0.4224</v>
      </c>
      <c r="K40">
        <v>0.1201</v>
      </c>
      <c r="M40">
        <f t="shared" si="7"/>
        <v>1.8754560000000002</v>
      </c>
      <c r="N40">
        <f t="shared" si="7"/>
        <v>0.53324400000000005</v>
      </c>
      <c r="P40">
        <f t="shared" si="8"/>
        <v>3.1825148481248941E-2</v>
      </c>
      <c r="Q40">
        <f t="shared" si="9"/>
        <v>9.0857727040381687E-3</v>
      </c>
      <c r="S40" s="4">
        <f t="shared" si="10"/>
        <v>3.5027453930367711</v>
      </c>
      <c r="T40" s="4"/>
      <c r="U40" s="4">
        <f t="shared" si="11"/>
        <v>77.79132700804179</v>
      </c>
      <c r="V40" s="4"/>
      <c r="W40" s="4">
        <f t="shared" si="12"/>
        <v>2.4087000000000005</v>
      </c>
      <c r="Y40">
        <f t="shared" si="6"/>
        <v>4.0910921185287107E-8</v>
      </c>
    </row>
    <row r="41" spans="2:25" x14ac:dyDescent="0.2">
      <c r="B41" t="s">
        <v>154</v>
      </c>
      <c r="C41" s="20">
        <v>-1.3</v>
      </c>
      <c r="D41" s="20">
        <v>250</v>
      </c>
      <c r="E41" s="20">
        <v>0</v>
      </c>
      <c r="F41" s="20">
        <v>1000</v>
      </c>
      <c r="G41" s="20"/>
      <c r="H41" s="20">
        <v>50</v>
      </c>
      <c r="J41">
        <v>0.38450000000000001</v>
      </c>
      <c r="K41">
        <v>9.6600000000000005E-2</v>
      </c>
      <c r="M41">
        <f t="shared" si="7"/>
        <v>1.7071800000000001</v>
      </c>
      <c r="N41">
        <f t="shared" si="7"/>
        <v>0.42890400000000006</v>
      </c>
      <c r="P41">
        <f t="shared" si="8"/>
        <v>2.8969624978788397E-2</v>
      </c>
      <c r="Q41">
        <f t="shared" si="9"/>
        <v>7.3079570625319487E-3</v>
      </c>
      <c r="S41" s="4">
        <f t="shared" si="10"/>
        <v>3.9641208522305473</v>
      </c>
      <c r="T41" s="4"/>
      <c r="U41" s="4">
        <f t="shared" si="11"/>
        <v>79.855446114881232</v>
      </c>
      <c r="V41" s="4"/>
      <c r="W41" s="4">
        <f t="shared" si="12"/>
        <v>2.1360840000000003</v>
      </c>
      <c r="Y41">
        <f t="shared" si="6"/>
        <v>3.6277582041320346E-8</v>
      </c>
    </row>
    <row r="42" spans="2:25" x14ac:dyDescent="0.2">
      <c r="B42" t="s">
        <v>155</v>
      </c>
      <c r="C42" s="20">
        <v>-1.3</v>
      </c>
      <c r="D42" s="20">
        <v>500</v>
      </c>
      <c r="E42" s="20">
        <v>0</v>
      </c>
      <c r="F42" s="20">
        <v>1000</v>
      </c>
      <c r="G42" s="20"/>
      <c r="H42" s="20">
        <v>50</v>
      </c>
      <c r="J42">
        <v>0.54530000000000001</v>
      </c>
      <c r="K42">
        <v>0.20250000000000001</v>
      </c>
      <c r="M42">
        <f t="shared" si="7"/>
        <v>2.4211320000000001</v>
      </c>
      <c r="N42">
        <f t="shared" si="7"/>
        <v>0.89910000000000012</v>
      </c>
      <c r="P42">
        <f t="shared" si="8"/>
        <v>4.1084880366536569E-2</v>
      </c>
      <c r="Q42">
        <f t="shared" si="9"/>
        <v>1.5319475208723806E-2</v>
      </c>
      <c r="S42" s="4">
        <f t="shared" si="10"/>
        <v>2.6818725711400631</v>
      </c>
      <c r="T42" s="4"/>
      <c r="U42" s="4">
        <f t="shared" si="11"/>
        <v>72.839907392820024</v>
      </c>
      <c r="V42" s="4"/>
      <c r="W42" s="4">
        <f t="shared" si="12"/>
        <v>3.3202320000000003</v>
      </c>
      <c r="Y42">
        <f t="shared" si="6"/>
        <v>5.6404355575260379E-8</v>
      </c>
    </row>
    <row r="43" spans="2:25" x14ac:dyDescent="0.2">
      <c r="B43" t="s">
        <v>156</v>
      </c>
      <c r="C43" s="20">
        <v>-1.3</v>
      </c>
      <c r="D43" s="20">
        <v>1000</v>
      </c>
      <c r="E43" s="20">
        <v>0</v>
      </c>
      <c r="F43" s="20">
        <v>1000</v>
      </c>
      <c r="G43" s="20"/>
      <c r="H43" s="20">
        <v>50</v>
      </c>
      <c r="J43">
        <v>1.4696</v>
      </c>
      <c r="K43">
        <v>0.97160000000000002</v>
      </c>
      <c r="M43">
        <f t="shared" si="7"/>
        <v>6.525024000000001</v>
      </c>
      <c r="N43">
        <f t="shared" si="7"/>
        <v>4.3139040000000008</v>
      </c>
      <c r="P43">
        <f t="shared" si="8"/>
        <v>0.11072499575767862</v>
      </c>
      <c r="Q43">
        <f t="shared" si="9"/>
        <v>7.3503220310103951E-2</v>
      </c>
      <c r="S43" s="4">
        <f t="shared" si="10"/>
        <v>1.5063965264452239</v>
      </c>
      <c r="T43" s="4"/>
      <c r="U43" s="4">
        <f t="shared" si="11"/>
        <v>60.102083231886638</v>
      </c>
      <c r="V43" s="4"/>
      <c r="W43" s="4">
        <f t="shared" si="12"/>
        <v>10.838928000000003</v>
      </c>
      <c r="Y43">
        <f t="shared" si="6"/>
        <v>1.8422821606778256E-7</v>
      </c>
    </row>
    <row r="44" spans="2:25" x14ac:dyDescent="0.2">
      <c r="B44" s="51"/>
      <c r="C44" s="23">
        <v>-1.4</v>
      </c>
      <c r="D44" s="23">
        <v>5</v>
      </c>
      <c r="E44" s="23">
        <v>0</v>
      </c>
      <c r="F44" s="23">
        <v>1000</v>
      </c>
      <c r="G44" s="23"/>
      <c r="H44" s="23">
        <v>50</v>
      </c>
      <c r="S44" s="4"/>
      <c r="T44" s="4"/>
      <c r="U44" s="4"/>
      <c r="V44" s="4"/>
      <c r="W44" s="4"/>
    </row>
    <row r="45" spans="2:25" x14ac:dyDescent="0.2">
      <c r="B45" s="51"/>
      <c r="C45" s="23">
        <v>-1.4</v>
      </c>
      <c r="D45" s="23">
        <v>10</v>
      </c>
      <c r="E45" s="23">
        <v>0</v>
      </c>
      <c r="F45" s="23">
        <v>1000</v>
      </c>
      <c r="G45" s="23"/>
      <c r="H45" s="23">
        <v>50</v>
      </c>
      <c r="S45" s="4"/>
      <c r="T45" s="4"/>
      <c r="U45" s="4"/>
      <c r="V45" s="4"/>
      <c r="W45" s="4"/>
    </row>
    <row r="46" spans="2:25" x14ac:dyDescent="0.2">
      <c r="B46" s="51"/>
      <c r="C46" s="23">
        <v>-1.4</v>
      </c>
      <c r="D46" s="23">
        <v>25</v>
      </c>
      <c r="E46" s="23">
        <v>0</v>
      </c>
      <c r="F46" s="23">
        <v>1000</v>
      </c>
      <c r="G46" s="23"/>
      <c r="H46" s="23">
        <v>50</v>
      </c>
      <c r="S46" s="4"/>
      <c r="T46" s="4"/>
      <c r="U46" s="4"/>
      <c r="V46" s="4"/>
      <c r="W46" s="4"/>
    </row>
    <row r="47" spans="2:25" x14ac:dyDescent="0.2">
      <c r="B47" t="s">
        <v>157</v>
      </c>
      <c r="C47" s="23">
        <v>-1.4</v>
      </c>
      <c r="D47" s="23">
        <v>50</v>
      </c>
      <c r="E47" s="23">
        <v>0</v>
      </c>
      <c r="F47" s="23">
        <v>1000</v>
      </c>
      <c r="G47" s="23"/>
      <c r="H47" s="23">
        <v>50</v>
      </c>
      <c r="J47">
        <v>0.32790000000000002</v>
      </c>
      <c r="K47">
        <v>9.7900000000000001E-2</v>
      </c>
      <c r="M47">
        <f t="shared" si="7"/>
        <v>1.4558760000000002</v>
      </c>
      <c r="N47">
        <f t="shared" si="7"/>
        <v>0.43467600000000006</v>
      </c>
      <c r="P47">
        <f t="shared" si="8"/>
        <v>2.4705175632105891E-2</v>
      </c>
      <c r="Q47">
        <f t="shared" si="9"/>
        <v>7.406304310785484E-3</v>
      </c>
      <c r="S47" s="4">
        <f t="shared" si="10"/>
        <v>3.335695455576785</v>
      </c>
      <c r="T47" s="4"/>
      <c r="U47" s="4">
        <f t="shared" si="11"/>
        <v>76.935649418970371</v>
      </c>
      <c r="V47" s="4"/>
      <c r="W47" s="4">
        <f t="shared" si="12"/>
        <v>1.8905520000000002</v>
      </c>
      <c r="Y47">
        <f t="shared" si="6"/>
        <v>3.2111479942891374E-8</v>
      </c>
    </row>
    <row r="48" spans="2:25" x14ac:dyDescent="0.2">
      <c r="B48" t="s">
        <v>158</v>
      </c>
      <c r="C48" s="23">
        <v>-1.4</v>
      </c>
      <c r="D48" s="23">
        <v>100</v>
      </c>
      <c r="E48" s="23">
        <v>0</v>
      </c>
      <c r="F48" s="23">
        <v>1000</v>
      </c>
      <c r="G48" s="23"/>
      <c r="H48" s="23">
        <v>50</v>
      </c>
      <c r="J48">
        <v>0.57210000000000005</v>
      </c>
      <c r="K48">
        <v>0.14000000000000001</v>
      </c>
      <c r="M48">
        <f t="shared" si="7"/>
        <v>2.5401240000000005</v>
      </c>
      <c r="N48">
        <f t="shared" si="7"/>
        <v>0.62160000000000015</v>
      </c>
      <c r="P48">
        <f t="shared" si="8"/>
        <v>4.3104089597827938E-2</v>
      </c>
      <c r="Q48">
        <f t="shared" si="9"/>
        <v>1.0591242119611521E-2</v>
      </c>
      <c r="S48" s="4">
        <f t="shared" si="10"/>
        <v>4.0697860657923437</v>
      </c>
      <c r="T48" s="4"/>
      <c r="U48" s="4">
        <f t="shared" si="11"/>
        <v>80.275301817026218</v>
      </c>
      <c r="V48" s="4"/>
      <c r="W48" s="4">
        <f t="shared" si="12"/>
        <v>3.1617240000000004</v>
      </c>
      <c r="Y48">
        <f t="shared" si="6"/>
        <v>5.3695331717439462E-8</v>
      </c>
    </row>
    <row r="49" spans="2:25" x14ac:dyDescent="0.2">
      <c r="B49" t="s">
        <v>159</v>
      </c>
      <c r="C49" s="23">
        <v>-1.4</v>
      </c>
      <c r="D49" s="23">
        <v>250</v>
      </c>
      <c r="E49" s="23">
        <v>0</v>
      </c>
      <c r="F49" s="23">
        <v>1000</v>
      </c>
      <c r="G49" s="23"/>
      <c r="H49" s="23">
        <v>50</v>
      </c>
      <c r="J49">
        <v>0.39340000000000003</v>
      </c>
      <c r="K49">
        <v>0.1565</v>
      </c>
      <c r="M49">
        <f t="shared" si="7"/>
        <v>1.7466960000000002</v>
      </c>
      <c r="N49">
        <f t="shared" si="7"/>
        <v>0.69486000000000003</v>
      </c>
      <c r="P49">
        <f t="shared" si="8"/>
        <v>2.9640183268284409E-2</v>
      </c>
      <c r="Q49">
        <f t="shared" si="9"/>
        <v>1.1839495655137162E-2</v>
      </c>
      <c r="S49" s="4">
        <f t="shared" si="10"/>
        <v>2.5035004979644992</v>
      </c>
      <c r="T49" s="4"/>
      <c r="U49" s="4">
        <f t="shared" si="11"/>
        <v>71.457118371155076</v>
      </c>
      <c r="V49" s="4"/>
      <c r="W49" s="4">
        <f t="shared" si="12"/>
        <v>2.4415560000000003</v>
      </c>
      <c r="Y49">
        <f t="shared" si="6"/>
        <v>4.1479678923421569E-8</v>
      </c>
    </row>
    <row r="50" spans="2:25" x14ac:dyDescent="0.2">
      <c r="B50" t="s">
        <v>160</v>
      </c>
      <c r="C50" s="23">
        <v>-1.4</v>
      </c>
      <c r="D50" s="23">
        <v>500</v>
      </c>
      <c r="E50" s="23">
        <v>0</v>
      </c>
      <c r="F50" s="23">
        <v>1000</v>
      </c>
      <c r="G50" s="23"/>
      <c r="H50" s="23">
        <v>25</v>
      </c>
      <c r="J50">
        <v>1.3932</v>
      </c>
      <c r="K50">
        <v>0.84630000000000005</v>
      </c>
      <c r="M50">
        <f t="shared" si="7"/>
        <v>6.1858080000000006</v>
      </c>
      <c r="N50">
        <f t="shared" si="7"/>
        <v>3.7575720000000006</v>
      </c>
      <c r="P50">
        <f t="shared" si="8"/>
        <v>0.10496874257593757</v>
      </c>
      <c r="Q50">
        <f t="shared" si="9"/>
        <v>6.4024058613051646E-2</v>
      </c>
      <c r="S50" s="4">
        <f t="shared" si="10"/>
        <v>1.6395202811234952</v>
      </c>
      <c r="T50" s="4"/>
      <c r="U50" s="4">
        <f t="shared" si="11"/>
        <v>62.114327851485335</v>
      </c>
      <c r="V50" s="4"/>
      <c r="W50" s="4">
        <f t="shared" si="12"/>
        <v>9.9433800000000012</v>
      </c>
      <c r="Y50">
        <f t="shared" si="6"/>
        <v>1.689928011889892E-7</v>
      </c>
    </row>
    <row r="51" spans="2:25" x14ac:dyDescent="0.2">
      <c r="B51" t="s">
        <v>161</v>
      </c>
      <c r="C51" s="23">
        <v>-1.4</v>
      </c>
      <c r="D51" s="23">
        <v>1000</v>
      </c>
      <c r="E51" s="23">
        <v>0</v>
      </c>
      <c r="F51" s="23">
        <v>1000</v>
      </c>
      <c r="G51" s="23"/>
      <c r="H51" s="23">
        <v>25</v>
      </c>
      <c r="J51">
        <v>2.645</v>
      </c>
      <c r="K51">
        <v>2.1764999999999999</v>
      </c>
      <c r="M51">
        <f t="shared" si="7"/>
        <v>11.7438</v>
      </c>
      <c r="N51">
        <f t="shared" si="7"/>
        <v>9.6636600000000001</v>
      </c>
      <c r="P51">
        <f t="shared" si="8"/>
        <v>0.19928389614797218</v>
      </c>
      <c r="Q51">
        <f t="shared" si="9"/>
        <v>0.16465598909524623</v>
      </c>
      <c r="S51" s="4">
        <f t="shared" si="10"/>
        <v>1.2103045704137445</v>
      </c>
      <c r="T51" s="4"/>
      <c r="U51" s="4">
        <f t="shared" si="11"/>
        <v>54.757366320207581</v>
      </c>
      <c r="V51" s="4"/>
      <c r="W51" s="4">
        <f t="shared" si="12"/>
        <v>21.40746</v>
      </c>
      <c r="Y51">
        <f t="shared" si="6"/>
        <v>3.6393988524321839E-7</v>
      </c>
    </row>
    <row r="52" spans="2:25" x14ac:dyDescent="0.2">
      <c r="B52" s="52"/>
      <c r="C52" s="26">
        <v>-1.5</v>
      </c>
      <c r="D52" s="26">
        <v>5</v>
      </c>
      <c r="E52" s="26">
        <v>0</v>
      </c>
      <c r="F52" s="26">
        <v>1000</v>
      </c>
      <c r="G52" s="26"/>
      <c r="H52" s="26">
        <v>25</v>
      </c>
      <c r="S52" s="4"/>
      <c r="T52" s="4"/>
      <c r="U52" s="4"/>
      <c r="V52" s="4"/>
      <c r="W52" s="4"/>
    </row>
    <row r="53" spans="2:25" x14ac:dyDescent="0.2">
      <c r="B53" s="52"/>
      <c r="C53" s="26">
        <v>-1.5</v>
      </c>
      <c r="D53" s="26">
        <v>10</v>
      </c>
      <c r="E53" s="26">
        <v>0</v>
      </c>
      <c r="F53" s="26">
        <v>1000</v>
      </c>
      <c r="G53" s="26"/>
      <c r="H53" s="26">
        <v>25</v>
      </c>
      <c r="S53" s="4"/>
      <c r="T53" s="4"/>
      <c r="U53" s="4"/>
      <c r="V53" s="4"/>
      <c r="W53" s="4"/>
    </row>
    <row r="54" spans="2:25" x14ac:dyDescent="0.2">
      <c r="B54" s="52"/>
      <c r="C54" s="26">
        <v>-1.5</v>
      </c>
      <c r="D54" s="26">
        <v>25</v>
      </c>
      <c r="E54" s="26">
        <v>0</v>
      </c>
      <c r="F54" s="26">
        <v>1000</v>
      </c>
      <c r="G54" s="26"/>
      <c r="H54" s="26">
        <v>25</v>
      </c>
      <c r="S54" s="4"/>
      <c r="T54" s="4"/>
      <c r="U54" s="4"/>
      <c r="V54" s="4"/>
      <c r="W54" s="4"/>
    </row>
    <row r="55" spans="2:25" x14ac:dyDescent="0.2">
      <c r="B55" t="s">
        <v>162</v>
      </c>
      <c r="C55" s="26">
        <v>-1.5</v>
      </c>
      <c r="D55" s="26">
        <v>50</v>
      </c>
      <c r="E55" s="26">
        <v>0</v>
      </c>
      <c r="F55" s="26">
        <v>1000</v>
      </c>
      <c r="G55" s="26"/>
      <c r="H55" s="26">
        <v>25</v>
      </c>
      <c r="J55">
        <v>0.55510000000000004</v>
      </c>
      <c r="K55">
        <v>0.1462</v>
      </c>
      <c r="M55">
        <f t="shared" si="7"/>
        <v>2.4646440000000003</v>
      </c>
      <c r="N55">
        <f t="shared" si="7"/>
        <v>0.64912800000000004</v>
      </c>
      <c r="P55">
        <f t="shared" si="8"/>
        <v>4.1823247921262519E-2</v>
      </c>
      <c r="Q55">
        <f t="shared" si="9"/>
        <v>1.1060282842051457E-2</v>
      </c>
      <c r="S55" s="4">
        <f t="shared" si="10"/>
        <v>3.7813904507260463</v>
      </c>
      <c r="T55" s="4"/>
      <c r="U55" s="4">
        <f t="shared" si="11"/>
        <v>79.085581687892656</v>
      </c>
      <c r="V55" s="4"/>
      <c r="W55" s="4">
        <f t="shared" si="12"/>
        <v>3.1137720000000004</v>
      </c>
      <c r="Y55">
        <f t="shared" si="6"/>
        <v>5.2883530763313979E-8</v>
      </c>
    </row>
    <row r="56" spans="2:25" x14ac:dyDescent="0.2">
      <c r="B56" t="s">
        <v>163</v>
      </c>
      <c r="C56" s="26">
        <v>-1.5</v>
      </c>
      <c r="D56" s="26">
        <v>100</v>
      </c>
      <c r="E56" s="26">
        <v>0</v>
      </c>
      <c r="F56" s="26">
        <v>1000</v>
      </c>
      <c r="G56" s="26"/>
      <c r="H56" s="26">
        <v>25</v>
      </c>
      <c r="J56">
        <v>0.6421</v>
      </c>
      <c r="K56">
        <v>0.1681</v>
      </c>
      <c r="M56">
        <f t="shared" si="7"/>
        <v>2.8509240000000005</v>
      </c>
      <c r="N56">
        <f t="shared" si="7"/>
        <v>0.74636400000000003</v>
      </c>
      <c r="P56">
        <f t="shared" si="8"/>
        <v>4.8378143560156128E-2</v>
      </c>
      <c r="Q56">
        <f t="shared" si="9"/>
        <v>1.2717055716476402E-2</v>
      </c>
      <c r="S56" s="4">
        <f t="shared" si="10"/>
        <v>3.8041937252407179</v>
      </c>
      <c r="T56" s="4"/>
      <c r="U56" s="4">
        <f t="shared" si="11"/>
        <v>79.184852710120595</v>
      </c>
      <c r="V56" s="4"/>
      <c r="W56" s="4">
        <f t="shared" si="12"/>
        <v>3.5972880000000007</v>
      </c>
      <c r="Y56">
        <f t="shared" si="6"/>
        <v>6.1095199276632529E-8</v>
      </c>
    </row>
    <row r="57" spans="2:25" x14ac:dyDescent="0.2">
      <c r="B57" t="s">
        <v>164</v>
      </c>
      <c r="C57" s="26">
        <v>-1.5</v>
      </c>
      <c r="D57" s="26">
        <v>250</v>
      </c>
      <c r="E57" s="26">
        <v>0</v>
      </c>
      <c r="F57" s="26">
        <v>1000</v>
      </c>
      <c r="G57" s="26"/>
      <c r="H57" s="26">
        <v>25</v>
      </c>
      <c r="J57">
        <v>0.32150000000000001</v>
      </c>
      <c r="K57">
        <v>0.112</v>
      </c>
      <c r="M57">
        <f t="shared" si="7"/>
        <v>1.4274600000000002</v>
      </c>
      <c r="N57">
        <f t="shared" si="7"/>
        <v>0.49728000000000006</v>
      </c>
      <c r="P57">
        <f t="shared" si="8"/>
        <v>2.4222976412693029E-2</v>
      </c>
      <c r="Q57">
        <f t="shared" si="9"/>
        <v>8.4729936956892161E-3</v>
      </c>
      <c r="S57" s="4">
        <f t="shared" si="10"/>
        <v>2.8588450886039127</v>
      </c>
      <c r="T57" s="4"/>
      <c r="U57" s="4">
        <f t="shared" si="11"/>
        <v>74.085510637541844</v>
      </c>
      <c r="V57" s="4"/>
      <c r="W57" s="4">
        <f t="shared" si="12"/>
        <v>1.9247400000000003</v>
      </c>
      <c r="Y57">
        <f t="shared" si="6"/>
        <v>3.2695970108382247E-8</v>
      </c>
    </row>
    <row r="58" spans="2:25" x14ac:dyDescent="0.2">
      <c r="B58" t="s">
        <v>165</v>
      </c>
      <c r="C58" s="26">
        <v>-1.5</v>
      </c>
      <c r="D58" s="26">
        <v>500</v>
      </c>
      <c r="E58" s="26">
        <v>0</v>
      </c>
      <c r="F58" s="26">
        <v>1000</v>
      </c>
      <c r="G58" s="26"/>
      <c r="H58" s="26">
        <v>25</v>
      </c>
      <c r="J58">
        <v>1.9359</v>
      </c>
      <c r="K58">
        <v>1.3597999999999999</v>
      </c>
      <c r="M58">
        <f t="shared" si="7"/>
        <v>8.5953960000000009</v>
      </c>
      <c r="N58">
        <f t="shared" si="7"/>
        <v>6.0375120000000004</v>
      </c>
      <c r="P58">
        <f t="shared" si="8"/>
        <v>0.14585772950958767</v>
      </c>
      <c r="Q58">
        <f t="shared" si="9"/>
        <v>0.10287122167319818</v>
      </c>
      <c r="S58" s="4">
        <f t="shared" si="10"/>
        <v>1.4178671851778843</v>
      </c>
      <c r="T58" s="4"/>
      <c r="U58" s="4">
        <f t="shared" si="11"/>
        <v>58.641235294881206</v>
      </c>
      <c r="V58" s="4"/>
      <c r="W58" s="4">
        <f t="shared" si="12"/>
        <v>14.632908</v>
      </c>
      <c r="Y58">
        <f t="shared" si="6"/>
        <v>2.4872895118278583E-7</v>
      </c>
    </row>
    <row r="59" spans="2:25" x14ac:dyDescent="0.2">
      <c r="B59" t="s">
        <v>166</v>
      </c>
      <c r="C59" s="26">
        <v>-1.5</v>
      </c>
      <c r="D59" s="26">
        <v>1000</v>
      </c>
      <c r="E59" s="26">
        <v>0</v>
      </c>
      <c r="F59" s="26">
        <v>1000</v>
      </c>
      <c r="G59" s="26"/>
      <c r="H59" s="26">
        <v>10</v>
      </c>
      <c r="J59">
        <v>0.77980000000000005</v>
      </c>
      <c r="K59">
        <v>0.68569999999999998</v>
      </c>
      <c r="M59">
        <f t="shared" si="7"/>
        <v>3.4623120000000007</v>
      </c>
      <c r="N59">
        <f t="shared" si="7"/>
        <v>3.044508</v>
      </c>
      <c r="P59">
        <f t="shared" si="8"/>
        <v>5.8752961140336006E-2</v>
      </c>
      <c r="Q59">
        <f t="shared" si="9"/>
        <v>5.1874390867268701E-2</v>
      </c>
      <c r="S59" s="4">
        <f t="shared" si="10"/>
        <v>1.1326005020602081</v>
      </c>
      <c r="T59" s="4"/>
      <c r="U59" s="4">
        <f t="shared" si="11"/>
        <v>53.108892217086812</v>
      </c>
      <c r="V59" s="4"/>
      <c r="W59" s="4">
        <f t="shared" si="12"/>
        <v>6.5068200000000012</v>
      </c>
      <c r="Y59">
        <f t="shared" si="6"/>
        <v>1.1062735200760471E-7</v>
      </c>
    </row>
    <row r="60" spans="2:25" x14ac:dyDescent="0.2">
      <c r="C60" s="10"/>
      <c r="D60" s="10"/>
      <c r="E60" s="10"/>
      <c r="F60" s="10"/>
      <c r="G60" s="10"/>
      <c r="H60" s="10"/>
    </row>
    <row r="61" spans="2:25" x14ac:dyDescent="0.2">
      <c r="B61" t="s">
        <v>141</v>
      </c>
      <c r="C61" s="11">
        <v>-1</v>
      </c>
      <c r="D61" s="11">
        <v>1000</v>
      </c>
      <c r="E61" s="11">
        <v>0</v>
      </c>
      <c r="F61" s="11">
        <v>1000</v>
      </c>
      <c r="G61" s="11"/>
      <c r="H61" s="11">
        <v>100</v>
      </c>
      <c r="J61">
        <v>0.28179999999999999</v>
      </c>
      <c r="K61">
        <v>3.6900000000000002E-2</v>
      </c>
      <c r="M61">
        <f t="shared" ref="M61:N65" si="13">J61*4.44</f>
        <v>1.2511920000000001</v>
      </c>
      <c r="N61">
        <f t="shared" si="13"/>
        <v>0.16383600000000004</v>
      </c>
      <c r="P61">
        <f t="shared" ref="P61:P65" si="14">M61/58.93</f>
        <v>2.1231834379772614E-2</v>
      </c>
      <c r="Q61">
        <f t="shared" ref="Q61:Q65" si="15">N61/58.69</f>
        <v>2.7915488158118938E-3</v>
      </c>
      <c r="S61" s="4">
        <f t="shared" ref="S61:S65" si="16">P61/Q61</f>
        <v>7.6057542893433334</v>
      </c>
      <c r="T61" s="4"/>
      <c r="U61" s="4">
        <f t="shared" ref="U61:U65" si="17">P61*100/(P61+Q61)</f>
        <v>88.379868093162756</v>
      </c>
      <c r="V61" s="4"/>
      <c r="W61" s="4">
        <f t="shared" ref="W61:W65" si="18">M61+N61</f>
        <v>1.4150280000000002</v>
      </c>
      <c r="Y61">
        <f t="shared" ref="Y61:Y65" si="19">(P61+Q61)/1000000</f>
        <v>2.4023383195584509E-8</v>
      </c>
    </row>
    <row r="62" spans="2:25" x14ac:dyDescent="0.2">
      <c r="B62" t="s">
        <v>167</v>
      </c>
      <c r="C62" s="11">
        <v>-1</v>
      </c>
      <c r="D62" s="11">
        <v>1100</v>
      </c>
      <c r="E62" s="11">
        <v>0</v>
      </c>
      <c r="F62" s="11">
        <v>1000</v>
      </c>
      <c r="G62" s="11"/>
      <c r="H62" s="11">
        <v>100</v>
      </c>
      <c r="J62">
        <v>0.15509999999999999</v>
      </c>
      <c r="K62">
        <v>2.1499999999999998E-2</v>
      </c>
      <c r="M62">
        <f t="shared" si="13"/>
        <v>0.68864400000000003</v>
      </c>
      <c r="N62">
        <f t="shared" si="13"/>
        <v>9.5460000000000003E-2</v>
      </c>
      <c r="P62">
        <f t="shared" si="14"/>
        <v>1.1685796707958596E-2</v>
      </c>
      <c r="Q62">
        <f t="shared" si="15"/>
        <v>1.6265121826546261E-3</v>
      </c>
      <c r="S62" s="4">
        <f t="shared" si="16"/>
        <v>7.1845737354922479</v>
      </c>
      <c r="T62" s="4"/>
      <c r="U62" s="4">
        <f t="shared" si="17"/>
        <v>87.781892712829759</v>
      </c>
      <c r="V62" s="4"/>
      <c r="W62" s="4">
        <f t="shared" si="18"/>
        <v>0.78410400000000002</v>
      </c>
      <c r="Y62">
        <f t="shared" si="19"/>
        <v>1.3312308890613222E-8</v>
      </c>
    </row>
    <row r="63" spans="2:25" x14ac:dyDescent="0.2">
      <c r="B63" t="s">
        <v>168</v>
      </c>
      <c r="C63" s="11">
        <v>-1</v>
      </c>
      <c r="D63" s="11">
        <v>1250</v>
      </c>
      <c r="E63" s="11">
        <v>0</v>
      </c>
      <c r="F63" s="11">
        <v>1000</v>
      </c>
      <c r="G63" s="11"/>
      <c r="H63" s="11">
        <v>100</v>
      </c>
      <c r="J63">
        <v>0.16070000000000001</v>
      </c>
      <c r="K63">
        <v>2.2800000000000001E-2</v>
      </c>
      <c r="M63">
        <f t="shared" si="13"/>
        <v>0.71350800000000014</v>
      </c>
      <c r="N63">
        <f t="shared" si="13"/>
        <v>0.10123200000000002</v>
      </c>
      <c r="P63">
        <f t="shared" si="14"/>
        <v>1.2107721024944852E-2</v>
      </c>
      <c r="Q63">
        <f t="shared" si="15"/>
        <v>1.7248594309081618E-3</v>
      </c>
      <c r="S63" s="4">
        <f t="shared" si="16"/>
        <v>7.0195407277739568</v>
      </c>
      <c r="T63" s="4"/>
      <c r="U63" s="4">
        <f t="shared" si="17"/>
        <v>87.530457990733609</v>
      </c>
      <c r="V63" s="4"/>
      <c r="W63" s="4">
        <f t="shared" si="18"/>
        <v>0.81474000000000013</v>
      </c>
      <c r="Y63">
        <f t="shared" si="19"/>
        <v>1.3832580455853014E-8</v>
      </c>
    </row>
    <row r="64" spans="2:25" x14ac:dyDescent="0.2">
      <c r="B64" t="s">
        <v>169</v>
      </c>
      <c r="C64" s="11">
        <v>-1</v>
      </c>
      <c r="D64" s="11">
        <v>1500</v>
      </c>
      <c r="E64" s="11">
        <v>0</v>
      </c>
      <c r="F64" s="11">
        <v>1000</v>
      </c>
      <c r="G64" s="11"/>
      <c r="H64" s="11">
        <v>100</v>
      </c>
      <c r="J64">
        <v>0.44030000000000002</v>
      </c>
      <c r="K64">
        <v>5.3600000000000002E-2</v>
      </c>
      <c r="M64">
        <f t="shared" si="13"/>
        <v>1.9549320000000003</v>
      </c>
      <c r="N64">
        <f t="shared" si="13"/>
        <v>0.23798400000000003</v>
      </c>
      <c r="P64">
        <f t="shared" si="14"/>
        <v>3.3173799423044298E-2</v>
      </c>
      <c r="Q64">
        <f t="shared" si="15"/>
        <v>4.0549326972226961E-3</v>
      </c>
      <c r="S64">
        <f t="shared" si="16"/>
        <v>8.1810974188956802</v>
      </c>
      <c r="U64">
        <f t="shared" si="17"/>
        <v>89.108055885107021</v>
      </c>
      <c r="W64">
        <f t="shared" si="18"/>
        <v>2.1929160000000003</v>
      </c>
      <c r="Y64">
        <f t="shared" si="19"/>
        <v>3.7228732120266988E-8</v>
      </c>
    </row>
    <row r="65" spans="2:25" x14ac:dyDescent="0.2">
      <c r="B65" t="s">
        <v>170</v>
      </c>
      <c r="C65" s="11">
        <v>-1</v>
      </c>
      <c r="D65" s="11">
        <v>1250</v>
      </c>
      <c r="E65" s="11">
        <v>0</v>
      </c>
      <c r="F65" s="11">
        <v>1000</v>
      </c>
      <c r="G65" s="11"/>
      <c r="H65" s="11">
        <v>100</v>
      </c>
      <c r="J65">
        <v>1.0214000000000001</v>
      </c>
      <c r="K65">
        <v>0.2213</v>
      </c>
      <c r="M65">
        <f t="shared" si="13"/>
        <v>4.5350160000000006</v>
      </c>
      <c r="N65">
        <f t="shared" si="13"/>
        <v>0.98257200000000011</v>
      </c>
      <c r="P65">
        <f t="shared" si="14"/>
        <v>7.6955981673171567E-2</v>
      </c>
      <c r="Q65">
        <f t="shared" si="15"/>
        <v>1.6741727721928782E-2</v>
      </c>
      <c r="S65" s="4">
        <f t="shared" si="16"/>
        <v>4.5966571044141684</v>
      </c>
      <c r="T65" s="4"/>
      <c r="U65" s="4">
        <f t="shared" si="17"/>
        <v>82.132191032191614</v>
      </c>
      <c r="V65" s="4"/>
      <c r="W65" s="4">
        <f t="shared" si="18"/>
        <v>5.5175880000000008</v>
      </c>
      <c r="Y65">
        <f t="shared" si="19"/>
        <v>9.3697709395100344E-8</v>
      </c>
    </row>
    <row r="66" spans="2:25" x14ac:dyDescent="0.2">
      <c r="C66" s="10"/>
      <c r="D66" s="10"/>
      <c r="E66" s="10"/>
      <c r="F66" s="10"/>
      <c r="G66" s="10"/>
      <c r="H66" s="10"/>
    </row>
    <row r="68" spans="2:25" x14ac:dyDescent="0.2">
      <c r="S68" s="4"/>
      <c r="T68" s="4"/>
      <c r="U68" s="4"/>
      <c r="V68" s="4"/>
      <c r="W68" s="4"/>
    </row>
    <row r="69" spans="2:25" x14ac:dyDescent="0.2">
      <c r="C69" s="53"/>
      <c r="D69" s="53"/>
      <c r="E69" s="53"/>
      <c r="F69" s="53"/>
      <c r="G69" s="53"/>
      <c r="H69" s="53"/>
    </row>
    <row r="70" spans="2:25" x14ac:dyDescent="0.2">
      <c r="B70" t="s">
        <v>171</v>
      </c>
      <c r="C70" s="6">
        <v>-0.9</v>
      </c>
      <c r="D70" s="6">
        <v>1100</v>
      </c>
      <c r="E70" s="6">
        <v>0</v>
      </c>
      <c r="F70" s="6">
        <v>1000</v>
      </c>
      <c r="G70" s="6"/>
      <c r="H70" s="6">
        <v>100</v>
      </c>
      <c r="J70">
        <v>5.5999999999999999E-3</v>
      </c>
      <c r="K70">
        <v>7.3000000000000001E-3</v>
      </c>
      <c r="M70">
        <f t="shared" ref="M70:N77" si="20">J70*4.44</f>
        <v>2.4864000000000001E-2</v>
      </c>
      <c r="N70">
        <f t="shared" si="20"/>
        <v>3.2412000000000003E-2</v>
      </c>
      <c r="P70">
        <f t="shared" ref="P70:P77" si="21">M70/58.93</f>
        <v>4.2192431698625491E-4</v>
      </c>
      <c r="Q70">
        <f t="shared" ref="Q70:Q77" si="22">N70/58.69</f>
        <v>5.522576248083149E-4</v>
      </c>
      <c r="S70" s="4">
        <f t="shared" ref="S70:S77" si="23">P70/Q70</f>
        <v>0.76399907947437062</v>
      </c>
      <c r="T70" s="4"/>
      <c r="U70" s="4">
        <f t="shared" ref="U70:U77" si="24">P70*100/(P70+Q70)</f>
        <v>43.310628013594204</v>
      </c>
      <c r="V70" s="4"/>
      <c r="W70" s="44">
        <f t="shared" ref="W70:W77" si="25">M70+N70</f>
        <v>5.7276000000000007E-2</v>
      </c>
      <c r="Y70" s="42">
        <f t="shared" ref="Y70:Y77" si="26">(P70+Q70)/1000000</f>
        <v>9.7418194179456979E-10</v>
      </c>
    </row>
    <row r="71" spans="2:25" x14ac:dyDescent="0.2">
      <c r="B71" t="s">
        <v>172</v>
      </c>
      <c r="C71" s="6">
        <v>-0.9</v>
      </c>
      <c r="D71" s="6">
        <v>1250</v>
      </c>
      <c r="E71" s="6">
        <v>0</v>
      </c>
      <c r="F71" s="6">
        <v>1000</v>
      </c>
      <c r="G71" s="6"/>
      <c r="H71" s="6">
        <v>100</v>
      </c>
      <c r="J71">
        <v>1.1299999999999999E-2</v>
      </c>
      <c r="K71">
        <v>1.4E-2</v>
      </c>
      <c r="M71">
        <f t="shared" si="20"/>
        <v>5.0172000000000001E-2</v>
      </c>
      <c r="N71">
        <f t="shared" si="20"/>
        <v>6.2160000000000007E-2</v>
      </c>
      <c r="P71">
        <f t="shared" si="21"/>
        <v>8.5138299677583573E-4</v>
      </c>
      <c r="Q71">
        <f t="shared" si="22"/>
        <v>1.059124211961152E-3</v>
      </c>
      <c r="S71" s="4">
        <f t="shared" si="23"/>
        <v>0.80385566410511244</v>
      </c>
      <c r="T71" s="4"/>
      <c r="U71" s="4">
        <f t="shared" si="24"/>
        <v>44.56319206137276</v>
      </c>
      <c r="V71" s="4"/>
      <c r="W71" s="44">
        <f t="shared" si="25"/>
        <v>0.11233200000000002</v>
      </c>
      <c r="Y71" s="42">
        <f t="shared" si="26"/>
        <v>1.9105072087369879E-9</v>
      </c>
    </row>
    <row r="72" spans="2:25" x14ac:dyDescent="0.2">
      <c r="B72" t="s">
        <v>173</v>
      </c>
      <c r="C72" s="6">
        <v>-0.9</v>
      </c>
      <c r="D72" s="6">
        <v>1500</v>
      </c>
      <c r="E72" s="6">
        <v>0</v>
      </c>
      <c r="F72" s="6">
        <v>1000</v>
      </c>
      <c r="G72" s="6"/>
      <c r="H72" s="6">
        <v>100</v>
      </c>
      <c r="J72">
        <v>6.6E-3</v>
      </c>
      <c r="K72">
        <v>5.4999999999999997E-3</v>
      </c>
      <c r="M72">
        <f t="shared" si="20"/>
        <v>2.9304000000000004E-2</v>
      </c>
      <c r="N72">
        <f t="shared" si="20"/>
        <v>2.4420000000000001E-2</v>
      </c>
      <c r="P72">
        <f t="shared" si="21"/>
        <v>4.972679450195147E-4</v>
      </c>
      <c r="Q72">
        <f t="shared" si="22"/>
        <v>4.160845118418811E-4</v>
      </c>
      <c r="S72" s="4">
        <f t="shared" si="23"/>
        <v>1.195112845749194</v>
      </c>
      <c r="T72" s="4"/>
      <c r="U72" s="4">
        <f t="shared" si="24"/>
        <v>54.444255477048195</v>
      </c>
      <c r="V72" s="4"/>
      <c r="W72" s="44">
        <f t="shared" si="25"/>
        <v>5.3724000000000008E-2</v>
      </c>
      <c r="Y72" s="42">
        <f t="shared" si="26"/>
        <v>9.1335245686139578E-10</v>
      </c>
    </row>
    <row r="73" spans="2:25" x14ac:dyDescent="0.2">
      <c r="B73" t="s">
        <v>174</v>
      </c>
      <c r="C73" s="6">
        <v>-0.9</v>
      </c>
      <c r="D73" s="6">
        <v>1750</v>
      </c>
      <c r="E73" s="6">
        <v>0</v>
      </c>
      <c r="F73" s="6">
        <v>1000</v>
      </c>
      <c r="G73" s="6"/>
      <c r="H73" s="6">
        <v>100</v>
      </c>
      <c r="J73">
        <v>2.3999999999999998E-3</v>
      </c>
      <c r="K73">
        <v>4.1999999999999997E-3</v>
      </c>
      <c r="M73">
        <f t="shared" si="20"/>
        <v>1.0656000000000001E-2</v>
      </c>
      <c r="N73">
        <f t="shared" si="20"/>
        <v>1.8648000000000001E-2</v>
      </c>
      <c r="P73">
        <f t="shared" si="21"/>
        <v>1.8082470727982352E-4</v>
      </c>
      <c r="Q73">
        <f t="shared" si="22"/>
        <v>3.1773726358834561E-4</v>
      </c>
      <c r="S73" s="4">
        <f t="shared" si="23"/>
        <v>0.56910135511866367</v>
      </c>
      <c r="T73" s="4"/>
      <c r="U73" s="4">
        <f t="shared" si="24"/>
        <v>36.269253943485715</v>
      </c>
      <c r="V73" s="4"/>
      <c r="W73" s="44">
        <f t="shared" si="25"/>
        <v>2.9304000000000004E-2</v>
      </c>
      <c r="Y73" s="42">
        <f t="shared" si="26"/>
        <v>4.9856197086816904E-10</v>
      </c>
    </row>
    <row r="74" spans="2:25" x14ac:dyDescent="0.2">
      <c r="B74" t="s">
        <v>175</v>
      </c>
      <c r="C74" s="14">
        <v>-1.1000000000000001</v>
      </c>
      <c r="D74" s="14">
        <v>1100</v>
      </c>
      <c r="E74" s="14">
        <v>0</v>
      </c>
      <c r="F74" s="14">
        <v>1000</v>
      </c>
      <c r="G74" s="14"/>
      <c r="H74" s="14">
        <v>100</v>
      </c>
      <c r="J74">
        <v>1.8636999999999999</v>
      </c>
      <c r="K74">
        <v>0.5716</v>
      </c>
      <c r="M74">
        <f t="shared" si="20"/>
        <v>8.2748280000000012</v>
      </c>
      <c r="N74">
        <f t="shared" si="20"/>
        <v>2.5379040000000002</v>
      </c>
      <c r="P74">
        <f t="shared" si="21"/>
        <v>0.1404179195655863</v>
      </c>
      <c r="Q74">
        <f t="shared" si="22"/>
        <v>4.3242528539785316E-2</v>
      </c>
      <c r="S74" s="4">
        <f t="shared" si="23"/>
        <v>3.2472180584073547</v>
      </c>
      <c r="T74" s="4"/>
      <c r="U74" s="4">
        <f t="shared" si="24"/>
        <v>76.455176394334089</v>
      </c>
      <c r="V74" s="4"/>
      <c r="W74" s="4">
        <f t="shared" si="25"/>
        <v>10.812732</v>
      </c>
      <c r="Y74">
        <f t="shared" si="26"/>
        <v>1.8366044810537164E-7</v>
      </c>
    </row>
    <row r="75" spans="2:25" x14ac:dyDescent="0.2">
      <c r="B75" t="s">
        <v>176</v>
      </c>
      <c r="C75" s="14">
        <v>-1.1000000000000001</v>
      </c>
      <c r="D75" s="14">
        <v>1250</v>
      </c>
      <c r="E75" s="14">
        <v>0</v>
      </c>
      <c r="F75" s="14">
        <v>1000</v>
      </c>
      <c r="G75" s="14"/>
      <c r="H75" s="14">
        <v>100</v>
      </c>
      <c r="J75">
        <v>2.3411</v>
      </c>
      <c r="K75">
        <v>0.84019999999999995</v>
      </c>
      <c r="M75">
        <f t="shared" si="20"/>
        <v>10.394484</v>
      </c>
      <c r="N75">
        <f t="shared" si="20"/>
        <v>3.7304880000000002</v>
      </c>
      <c r="P75">
        <f t="shared" si="21"/>
        <v>0.17638696758866451</v>
      </c>
      <c r="Q75">
        <f t="shared" si="22"/>
        <v>6.3562583063554279E-2</v>
      </c>
      <c r="S75" s="4">
        <f t="shared" si="23"/>
        <v>2.7750125795281257</v>
      </c>
      <c r="T75" s="4"/>
      <c r="U75" s="4">
        <f t="shared" si="24"/>
        <v>73.510022048059</v>
      </c>
      <c r="V75" s="4"/>
      <c r="W75" s="4">
        <f t="shared" si="25"/>
        <v>14.124972</v>
      </c>
      <c r="Y75">
        <f t="shared" si="26"/>
        <v>2.3994955065221879E-7</v>
      </c>
    </row>
    <row r="76" spans="2:25" x14ac:dyDescent="0.2">
      <c r="B76" t="s">
        <v>177</v>
      </c>
      <c r="C76" s="14">
        <v>-1.1000000000000001</v>
      </c>
      <c r="D76" s="14">
        <v>1500</v>
      </c>
      <c r="E76" s="14">
        <v>0</v>
      </c>
      <c r="F76" s="14">
        <v>1000</v>
      </c>
      <c r="G76" s="14"/>
      <c r="H76" s="14">
        <v>100</v>
      </c>
      <c r="J76">
        <v>2.7562000000000002</v>
      </c>
      <c r="K76">
        <v>1.3733</v>
      </c>
      <c r="M76">
        <f t="shared" si="20"/>
        <v>12.237528000000003</v>
      </c>
      <c r="N76">
        <f t="shared" si="20"/>
        <v>6.0974520000000005</v>
      </c>
      <c r="P76">
        <f t="shared" si="21"/>
        <v>0.20766210758527071</v>
      </c>
      <c r="Q76">
        <f t="shared" si="22"/>
        <v>0.10389252002044642</v>
      </c>
      <c r="S76" s="4">
        <f t="shared" si="23"/>
        <v>1.9988167342981193</v>
      </c>
      <c r="T76" s="4"/>
      <c r="U76" s="4">
        <f t="shared" si="24"/>
        <v>66.653514082311787</v>
      </c>
      <c r="V76" s="4"/>
      <c r="W76" s="4">
        <f t="shared" si="25"/>
        <v>18.334980000000002</v>
      </c>
      <c r="Y76">
        <f t="shared" si="26"/>
        <v>3.1155462760571713E-7</v>
      </c>
    </row>
    <row r="77" spans="2:25" x14ac:dyDescent="0.2">
      <c r="B77" t="s">
        <v>178</v>
      </c>
      <c r="C77" s="14">
        <v>-1.1000000000000001</v>
      </c>
      <c r="D77" s="14">
        <v>1750</v>
      </c>
      <c r="E77" s="14">
        <v>0</v>
      </c>
      <c r="F77" s="14">
        <v>1000</v>
      </c>
      <c r="G77" s="14"/>
      <c r="H77" s="14">
        <v>100</v>
      </c>
      <c r="J77">
        <v>1.5297000000000001</v>
      </c>
      <c r="K77">
        <v>0.69740000000000002</v>
      </c>
      <c r="M77">
        <f t="shared" si="20"/>
        <v>6.7918680000000009</v>
      </c>
      <c r="N77">
        <f t="shared" si="20"/>
        <v>3.0964560000000003</v>
      </c>
      <c r="P77">
        <f t="shared" si="21"/>
        <v>0.11525314780247753</v>
      </c>
      <c r="Q77">
        <f t="shared" si="22"/>
        <v>5.2759516101550524E-2</v>
      </c>
      <c r="S77" s="4">
        <f t="shared" si="23"/>
        <v>2.184499713390859</v>
      </c>
      <c r="T77" s="4"/>
      <c r="U77" s="4">
        <f t="shared" si="24"/>
        <v>68.597893232805504</v>
      </c>
      <c r="V77" s="4"/>
      <c r="W77" s="4">
        <f t="shared" si="25"/>
        <v>9.8883240000000008</v>
      </c>
      <c r="Y77">
        <f t="shared" si="26"/>
        <v>1.6801266390402805E-7</v>
      </c>
    </row>
  </sheetData>
  <mergeCells count="3">
    <mergeCell ref="J1:K1"/>
    <mergeCell ref="M1:N1"/>
    <mergeCell ref="P1:Q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959A-0265-45B4-B352-120F211DB886}">
  <sheetPr codeName="Sheet4"/>
  <dimension ref="B1:AA31"/>
  <sheetViews>
    <sheetView zoomScale="70" zoomScaleNormal="70" workbookViewId="0">
      <selection activeCell="F3" sqref="F3"/>
    </sheetView>
  </sheetViews>
  <sheetFormatPr baseColWidth="10" defaultColWidth="8.83203125" defaultRowHeight="15" x14ac:dyDescent="0.2"/>
  <cols>
    <col min="25" max="25" width="13.33203125" bestFit="1" customWidth="1"/>
  </cols>
  <sheetData>
    <row r="1" spans="2:27" x14ac:dyDescent="0.2">
      <c r="J1" s="57" t="s">
        <v>75</v>
      </c>
      <c r="K1" s="57"/>
      <c r="L1" s="2"/>
      <c r="M1" s="57" t="s">
        <v>0</v>
      </c>
      <c r="N1" s="57"/>
      <c r="O1" s="1"/>
      <c r="P1" s="57" t="s">
        <v>76</v>
      </c>
      <c r="Q1" s="57"/>
      <c r="R1" s="2"/>
      <c r="S1" s="3" t="s">
        <v>2</v>
      </c>
      <c r="T1" s="4"/>
      <c r="U1" s="3" t="s">
        <v>3</v>
      </c>
      <c r="V1" s="4"/>
      <c r="W1" s="3" t="s">
        <v>4</v>
      </c>
      <c r="Y1" t="s">
        <v>77</v>
      </c>
      <c r="AA1" s="2"/>
    </row>
    <row r="2" spans="2:27" x14ac:dyDescent="0.2">
      <c r="S2" s="4"/>
      <c r="T2" s="4"/>
      <c r="U2" s="3"/>
      <c r="V2" s="4"/>
      <c r="W2" s="4"/>
      <c r="AA2" s="34"/>
    </row>
    <row r="3" spans="2:27" x14ac:dyDescent="0.2">
      <c r="B3" s="31" t="s">
        <v>5</v>
      </c>
      <c r="C3" s="2" t="s">
        <v>214</v>
      </c>
      <c r="D3" s="2" t="s">
        <v>213</v>
      </c>
      <c r="E3" s="2" t="s">
        <v>215</v>
      </c>
      <c r="F3" s="2" t="s">
        <v>216</v>
      </c>
      <c r="G3" s="2"/>
      <c r="H3" s="2" t="s">
        <v>217</v>
      </c>
      <c r="J3" s="2" t="s">
        <v>6</v>
      </c>
      <c r="K3" s="2" t="s">
        <v>7</v>
      </c>
      <c r="L3" s="2"/>
      <c r="M3" s="2" t="s">
        <v>8</v>
      </c>
      <c r="N3" s="2" t="s">
        <v>9</v>
      </c>
      <c r="O3" s="2"/>
      <c r="P3" s="2" t="s">
        <v>8</v>
      </c>
      <c r="Q3" s="2" t="s">
        <v>9</v>
      </c>
      <c r="R3" s="2"/>
      <c r="S3" s="3"/>
      <c r="T3" s="3"/>
      <c r="U3" s="3"/>
      <c r="V3" s="4"/>
      <c r="W3" s="4"/>
    </row>
    <row r="4" spans="2:27" x14ac:dyDescent="0.2">
      <c r="B4" t="s">
        <v>179</v>
      </c>
      <c r="C4">
        <v>-0.9</v>
      </c>
      <c r="D4">
        <v>100</v>
      </c>
      <c r="E4">
        <v>0</v>
      </c>
      <c r="F4">
        <v>1500</v>
      </c>
      <c r="H4">
        <v>100</v>
      </c>
      <c r="J4">
        <v>2.5000000000000001E-3</v>
      </c>
      <c r="K4">
        <v>3.3E-3</v>
      </c>
      <c r="M4">
        <f t="shared" ref="M4:M31" si="0">J4*4.44</f>
        <v>1.11E-2</v>
      </c>
      <c r="N4">
        <f t="shared" ref="N4:N31" si="1">K4*4.44</f>
        <v>1.4652000000000002E-2</v>
      </c>
      <c r="P4">
        <f t="shared" ref="P4:P31" si="2">M4/58.93</f>
        <v>1.8835907008314952E-4</v>
      </c>
      <c r="Q4">
        <f t="shared" ref="Q4:Q31" si="3">N4/58.69</f>
        <v>2.4965070710512871E-4</v>
      </c>
      <c r="S4" s="4">
        <f t="shared" ref="S4:S31" si="4">P4/Q4</f>
        <v>0.75449043292247087</v>
      </c>
      <c r="T4" s="4"/>
      <c r="U4" s="4">
        <f t="shared" ref="U4:U31" si="5">P4*100/(P4+Q4)</f>
        <v>43.003393963551524</v>
      </c>
      <c r="V4" s="4"/>
      <c r="W4" s="44">
        <f t="shared" ref="W4:W31" si="6">M4+N4</f>
        <v>2.5752000000000004E-2</v>
      </c>
      <c r="Y4" s="42">
        <f t="shared" ref="Y4:Y13" si="7">(P4+Q4)/1000000</f>
        <v>4.3800977718827819E-10</v>
      </c>
    </row>
    <row r="5" spans="2:27" x14ac:dyDescent="0.2">
      <c r="B5" t="s">
        <v>180</v>
      </c>
      <c r="C5">
        <v>-0.9</v>
      </c>
      <c r="D5">
        <v>250</v>
      </c>
      <c r="E5">
        <v>0</v>
      </c>
      <c r="F5">
        <v>1500</v>
      </c>
      <c r="H5">
        <v>100</v>
      </c>
      <c r="J5">
        <v>2.7000000000000001E-3</v>
      </c>
      <c r="K5">
        <v>2.8E-3</v>
      </c>
      <c r="M5">
        <f t="shared" si="0"/>
        <v>1.1988000000000002E-2</v>
      </c>
      <c r="N5">
        <f t="shared" si="1"/>
        <v>1.2432E-2</v>
      </c>
      <c r="P5">
        <f t="shared" si="2"/>
        <v>2.0342779568980148E-4</v>
      </c>
      <c r="Q5">
        <f t="shared" si="3"/>
        <v>2.1182484239223038E-4</v>
      </c>
      <c r="S5" s="4">
        <f t="shared" si="4"/>
        <v>0.96035853676274519</v>
      </c>
      <c r="T5" s="4"/>
      <c r="U5" s="4">
        <f t="shared" si="5"/>
        <v>48.988923135899498</v>
      </c>
      <c r="V5" s="4"/>
      <c r="W5" s="44">
        <f t="shared" si="6"/>
        <v>2.4420000000000004E-2</v>
      </c>
      <c r="Y5" s="42">
        <f t="shared" si="7"/>
        <v>4.1525263808203184E-10</v>
      </c>
    </row>
    <row r="6" spans="2:27" x14ac:dyDescent="0.2">
      <c r="B6" t="s">
        <v>181</v>
      </c>
      <c r="C6">
        <v>-0.9</v>
      </c>
      <c r="D6">
        <v>500</v>
      </c>
      <c r="E6">
        <v>0</v>
      </c>
      <c r="F6">
        <v>1500</v>
      </c>
      <c r="H6">
        <v>100</v>
      </c>
      <c r="J6">
        <v>3.0000000000000001E-3</v>
      </c>
      <c r="K6">
        <v>4.1000000000000003E-3</v>
      </c>
      <c r="M6">
        <f t="shared" si="0"/>
        <v>1.3320000000000002E-2</v>
      </c>
      <c r="N6">
        <f t="shared" si="1"/>
        <v>1.8204000000000001E-2</v>
      </c>
      <c r="P6">
        <f t="shared" si="2"/>
        <v>2.2603088409977945E-4</v>
      </c>
      <c r="Q6">
        <f t="shared" si="3"/>
        <v>3.101720906457659E-4</v>
      </c>
      <c r="S6" s="4">
        <f t="shared" si="4"/>
        <v>0.72872734496902081</v>
      </c>
      <c r="T6" s="4"/>
      <c r="U6" s="4">
        <f t="shared" si="5"/>
        <v>42.153978016821377</v>
      </c>
      <c r="V6" s="4"/>
      <c r="W6" s="44">
        <f t="shared" si="6"/>
        <v>3.1524000000000003E-2</v>
      </c>
      <c r="Y6" s="42">
        <f t="shared" si="7"/>
        <v>5.3620297474554527E-10</v>
      </c>
    </row>
    <row r="7" spans="2:27" x14ac:dyDescent="0.2">
      <c r="B7" t="s">
        <v>182</v>
      </c>
      <c r="C7">
        <v>-0.9</v>
      </c>
      <c r="D7">
        <v>1000</v>
      </c>
      <c r="E7">
        <v>0</v>
      </c>
      <c r="F7">
        <v>1500</v>
      </c>
      <c r="H7">
        <v>100</v>
      </c>
      <c r="J7">
        <v>3.0000000000000001E-3</v>
      </c>
      <c r="K7">
        <v>3.8E-3</v>
      </c>
      <c r="M7">
        <f t="shared" si="0"/>
        <v>1.3320000000000002E-2</v>
      </c>
      <c r="N7">
        <f t="shared" si="1"/>
        <v>1.6872000000000002E-2</v>
      </c>
      <c r="P7">
        <f t="shared" si="2"/>
        <v>2.2603088409977945E-4</v>
      </c>
      <c r="Q7">
        <f t="shared" si="3"/>
        <v>2.8747657181802695E-4</v>
      </c>
      <c r="S7" s="4">
        <f t="shared" si="4"/>
        <v>0.78625845115078552</v>
      </c>
      <c r="T7" s="4"/>
      <c r="U7" s="4">
        <f t="shared" si="5"/>
        <v>44.01705982940171</v>
      </c>
      <c r="V7" s="4"/>
      <c r="W7" s="44">
        <f t="shared" si="6"/>
        <v>3.0192000000000004E-2</v>
      </c>
      <c r="Y7" s="42">
        <f t="shared" si="7"/>
        <v>5.1350745591780637E-10</v>
      </c>
    </row>
    <row r="8" spans="2:27" x14ac:dyDescent="0.2">
      <c r="B8" t="s">
        <v>183</v>
      </c>
      <c r="C8">
        <v>-0.9</v>
      </c>
      <c r="D8">
        <v>1250</v>
      </c>
      <c r="E8">
        <v>0</v>
      </c>
      <c r="F8">
        <v>1500</v>
      </c>
      <c r="H8">
        <v>100</v>
      </c>
      <c r="J8">
        <v>3.7000000000000002E-3</v>
      </c>
      <c r="K8">
        <v>3.3999999999999998E-3</v>
      </c>
      <c r="M8">
        <f t="shared" si="0"/>
        <v>1.6428000000000002E-2</v>
      </c>
      <c r="N8">
        <f t="shared" si="1"/>
        <v>1.5096E-2</v>
      </c>
      <c r="P8">
        <f t="shared" si="2"/>
        <v>2.7877142372306128E-4</v>
      </c>
      <c r="Q8">
        <f t="shared" si="3"/>
        <v>2.572158800477083E-4</v>
      </c>
      <c r="S8" s="4">
        <f t="shared" si="4"/>
        <v>1.0838033159980436</v>
      </c>
      <c r="T8" s="4"/>
      <c r="U8" s="4">
        <f t="shared" si="5"/>
        <v>52.010825958348811</v>
      </c>
      <c r="V8" s="4"/>
      <c r="W8" s="44">
        <f t="shared" si="6"/>
        <v>3.1524000000000003E-2</v>
      </c>
      <c r="Y8" s="42">
        <f t="shared" si="7"/>
        <v>5.3598730377076951E-10</v>
      </c>
    </row>
    <row r="9" spans="2:27" x14ac:dyDescent="0.2">
      <c r="B9" t="s">
        <v>184</v>
      </c>
      <c r="C9">
        <v>-0.9</v>
      </c>
      <c r="D9">
        <v>1500</v>
      </c>
      <c r="E9">
        <v>0</v>
      </c>
      <c r="F9">
        <v>1500</v>
      </c>
      <c r="H9">
        <v>100</v>
      </c>
      <c r="J9">
        <v>3.2000000000000002E-3</v>
      </c>
      <c r="K9">
        <v>3.0999999999999999E-3</v>
      </c>
      <c r="M9">
        <f t="shared" si="0"/>
        <v>1.4208000000000002E-2</v>
      </c>
      <c r="N9">
        <f t="shared" si="1"/>
        <v>1.3764E-2</v>
      </c>
      <c r="P9">
        <f t="shared" si="2"/>
        <v>2.4109960970643138E-4</v>
      </c>
      <c r="Q9">
        <f t="shared" si="3"/>
        <v>2.3452036121996935E-4</v>
      </c>
      <c r="S9" s="4">
        <f t="shared" si="4"/>
        <v>1.0280540608595217</v>
      </c>
      <c r="T9" s="4"/>
      <c r="U9" s="4">
        <f t="shared" si="5"/>
        <v>50.691649729683043</v>
      </c>
      <c r="V9" s="4"/>
      <c r="W9" s="44">
        <f t="shared" si="6"/>
        <v>2.7972000000000004E-2</v>
      </c>
      <c r="Y9" s="42">
        <f t="shared" si="7"/>
        <v>4.7561997092640075E-10</v>
      </c>
    </row>
    <row r="10" spans="2:27" x14ac:dyDescent="0.2">
      <c r="B10" t="s">
        <v>185</v>
      </c>
      <c r="C10">
        <v>-0.9</v>
      </c>
      <c r="D10">
        <v>1750</v>
      </c>
      <c r="E10">
        <v>0</v>
      </c>
      <c r="F10">
        <v>1500</v>
      </c>
      <c r="H10">
        <v>100</v>
      </c>
      <c r="J10">
        <v>4.5999999999999999E-3</v>
      </c>
      <c r="K10">
        <v>4.4999999999999997E-3</v>
      </c>
      <c r="M10">
        <f t="shared" si="0"/>
        <v>2.0424000000000001E-2</v>
      </c>
      <c r="N10">
        <f t="shared" si="1"/>
        <v>1.9980000000000001E-2</v>
      </c>
      <c r="P10">
        <f t="shared" si="2"/>
        <v>3.4658068895299511E-4</v>
      </c>
      <c r="Q10">
        <f t="shared" si="3"/>
        <v>3.4043278241608455E-4</v>
      </c>
      <c r="S10" s="4">
        <f t="shared" si="4"/>
        <v>1.0180590908233873</v>
      </c>
      <c r="T10" s="4"/>
      <c r="U10" s="4">
        <f t="shared" si="5"/>
        <v>50.447437116819486</v>
      </c>
      <c r="V10" s="4"/>
      <c r="W10" s="44">
        <f t="shared" si="6"/>
        <v>4.0404000000000002E-2</v>
      </c>
      <c r="Y10" s="42">
        <f t="shared" si="7"/>
        <v>6.870134713690796E-10</v>
      </c>
    </row>
    <row r="11" spans="2:27" x14ac:dyDescent="0.2">
      <c r="B11" t="s">
        <v>186</v>
      </c>
      <c r="C11">
        <v>-1</v>
      </c>
      <c r="D11">
        <v>100</v>
      </c>
      <c r="E11">
        <v>0</v>
      </c>
      <c r="F11">
        <v>1500</v>
      </c>
      <c r="H11">
        <v>100</v>
      </c>
      <c r="J11">
        <v>3.8E-3</v>
      </c>
      <c r="K11">
        <v>4.8999999999999998E-3</v>
      </c>
      <c r="M11">
        <f t="shared" si="0"/>
        <v>1.6872000000000002E-2</v>
      </c>
      <c r="N11">
        <f t="shared" si="1"/>
        <v>2.1756000000000001E-2</v>
      </c>
      <c r="P11">
        <f t="shared" si="2"/>
        <v>2.8630578652638725E-4</v>
      </c>
      <c r="Q11">
        <f t="shared" si="3"/>
        <v>3.7069347418640315E-4</v>
      </c>
      <c r="S11" s="4">
        <f t="shared" si="4"/>
        <v>0.77235183908961513</v>
      </c>
      <c r="T11" s="4"/>
      <c r="U11" s="4">
        <f t="shared" si="5"/>
        <v>43.577794321376999</v>
      </c>
      <c r="V11" s="4"/>
      <c r="W11" s="44">
        <f t="shared" si="6"/>
        <v>3.8628000000000003E-2</v>
      </c>
      <c r="Y11" s="42">
        <f t="shared" si="7"/>
        <v>6.5699926071279044E-10</v>
      </c>
    </row>
    <row r="12" spans="2:27" x14ac:dyDescent="0.2">
      <c r="B12" t="s">
        <v>187</v>
      </c>
      <c r="C12">
        <v>-1</v>
      </c>
      <c r="D12">
        <v>250</v>
      </c>
      <c r="E12">
        <v>0</v>
      </c>
      <c r="F12">
        <v>1500</v>
      </c>
      <c r="H12">
        <v>100</v>
      </c>
      <c r="J12">
        <v>3.2000000000000002E-3</v>
      </c>
      <c r="K12">
        <v>3.8E-3</v>
      </c>
      <c r="M12">
        <f t="shared" si="0"/>
        <v>1.4208000000000002E-2</v>
      </c>
      <c r="N12">
        <f t="shared" si="1"/>
        <v>1.6872000000000002E-2</v>
      </c>
      <c r="P12">
        <f t="shared" si="2"/>
        <v>2.4109960970643138E-4</v>
      </c>
      <c r="Q12">
        <f t="shared" si="3"/>
        <v>2.8747657181802695E-4</v>
      </c>
      <c r="S12" s="4">
        <f t="shared" si="4"/>
        <v>0.83867568122750447</v>
      </c>
      <c r="T12" s="4"/>
      <c r="U12" s="4">
        <f t="shared" si="5"/>
        <v>45.613029518484879</v>
      </c>
      <c r="V12" s="4"/>
      <c r="W12" s="44">
        <f t="shared" si="6"/>
        <v>3.1080000000000003E-2</v>
      </c>
      <c r="Y12" s="42">
        <f t="shared" si="7"/>
        <v>5.2857618152445829E-10</v>
      </c>
    </row>
    <row r="13" spans="2:27" x14ac:dyDescent="0.2">
      <c r="B13" t="s">
        <v>188</v>
      </c>
      <c r="C13">
        <v>-1</v>
      </c>
      <c r="D13">
        <v>500</v>
      </c>
      <c r="E13">
        <v>0</v>
      </c>
      <c r="F13">
        <v>1500</v>
      </c>
      <c r="H13">
        <v>100</v>
      </c>
      <c r="J13">
        <v>1.6299999999999999E-2</v>
      </c>
      <c r="K13">
        <v>5.4999999999999997E-3</v>
      </c>
      <c r="M13">
        <f t="shared" si="0"/>
        <v>7.2372000000000006E-2</v>
      </c>
      <c r="N13">
        <f t="shared" si="1"/>
        <v>2.4420000000000001E-2</v>
      </c>
      <c r="P13">
        <f t="shared" si="2"/>
        <v>1.2281011369421348E-3</v>
      </c>
      <c r="Q13">
        <f t="shared" si="3"/>
        <v>4.160845118418811E-4</v>
      </c>
      <c r="S13" s="4">
        <f t="shared" si="4"/>
        <v>2.9515665735927064</v>
      </c>
      <c r="T13" s="4"/>
      <c r="U13" s="4">
        <f t="shared" si="5"/>
        <v>74.693580852648651</v>
      </c>
      <c r="V13" s="4"/>
      <c r="W13" s="44">
        <f t="shared" si="6"/>
        <v>9.6792000000000003E-2</v>
      </c>
      <c r="Y13" s="42">
        <f t="shared" si="7"/>
        <v>1.6441856487840159E-9</v>
      </c>
    </row>
    <row r="14" spans="2:27" x14ac:dyDescent="0.2">
      <c r="B14" t="s">
        <v>189</v>
      </c>
      <c r="C14">
        <v>-1</v>
      </c>
      <c r="D14">
        <v>1000</v>
      </c>
      <c r="E14">
        <v>0</v>
      </c>
      <c r="F14">
        <v>1500</v>
      </c>
      <c r="H14">
        <v>100</v>
      </c>
      <c r="J14">
        <v>0.13109999999999999</v>
      </c>
      <c r="K14">
        <v>2.2100000000000002E-2</v>
      </c>
      <c r="M14">
        <f t="shared" si="0"/>
        <v>0.58208400000000005</v>
      </c>
      <c r="N14">
        <f t="shared" si="1"/>
        <v>9.8124000000000017E-2</v>
      </c>
      <c r="P14">
        <f t="shared" si="2"/>
        <v>9.8775496351603612E-3</v>
      </c>
      <c r="Q14">
        <f t="shared" si="3"/>
        <v>1.6719032203101043E-3</v>
      </c>
      <c r="S14" s="4">
        <f t="shared" si="4"/>
        <v>5.907967348330291</v>
      </c>
      <c r="T14" s="4"/>
      <c r="U14" s="4">
        <f t="shared" si="5"/>
        <v>85.523961686910582</v>
      </c>
      <c r="V14" s="4"/>
      <c r="W14" s="4">
        <f t="shared" si="6"/>
        <v>0.68020800000000003</v>
      </c>
      <c r="Y14">
        <f t="shared" ref="Y14:Y31" si="8">(P14+Q14)/1000000</f>
        <v>1.1549452855470466E-8</v>
      </c>
    </row>
    <row r="15" spans="2:27" x14ac:dyDescent="0.2">
      <c r="B15" t="s">
        <v>190</v>
      </c>
      <c r="C15">
        <v>-1</v>
      </c>
      <c r="D15">
        <v>1250</v>
      </c>
      <c r="E15">
        <v>0</v>
      </c>
      <c r="F15">
        <v>1500</v>
      </c>
      <c r="H15">
        <v>100</v>
      </c>
      <c r="J15">
        <v>0.19289999999999999</v>
      </c>
      <c r="K15">
        <v>2.7099999999999999E-2</v>
      </c>
      <c r="M15">
        <f t="shared" si="0"/>
        <v>0.85647600000000002</v>
      </c>
      <c r="N15">
        <f t="shared" si="1"/>
        <v>0.120324</v>
      </c>
      <c r="P15">
        <f t="shared" si="2"/>
        <v>1.4533785847615817E-2</v>
      </c>
      <c r="Q15">
        <f t="shared" si="3"/>
        <v>2.0501618674390867E-3</v>
      </c>
      <c r="S15" s="4">
        <f t="shared" si="4"/>
        <v>7.0890918802281533</v>
      </c>
      <c r="T15" s="4"/>
      <c r="U15" s="4">
        <f t="shared" si="5"/>
        <v>87.637672870989888</v>
      </c>
      <c r="V15" s="4"/>
      <c r="W15" s="4">
        <f t="shared" si="6"/>
        <v>0.9768</v>
      </c>
      <c r="Y15">
        <f t="shared" si="8"/>
        <v>1.6583947715054902E-8</v>
      </c>
    </row>
    <row r="16" spans="2:27" x14ac:dyDescent="0.2">
      <c r="B16" t="s">
        <v>191</v>
      </c>
      <c r="C16">
        <v>-1</v>
      </c>
      <c r="D16">
        <v>1500</v>
      </c>
      <c r="E16">
        <v>0</v>
      </c>
      <c r="F16">
        <v>1500</v>
      </c>
      <c r="H16">
        <v>100</v>
      </c>
      <c r="J16">
        <v>0.28370000000000001</v>
      </c>
      <c r="K16">
        <v>3.5799999999999998E-2</v>
      </c>
      <c r="M16">
        <f t="shared" si="0"/>
        <v>1.2596280000000002</v>
      </c>
      <c r="N16">
        <f t="shared" si="1"/>
        <v>0.15895200000000001</v>
      </c>
      <c r="P16">
        <f t="shared" si="2"/>
        <v>2.1374987273035807E-2</v>
      </c>
      <c r="Q16">
        <f t="shared" si="3"/>
        <v>2.708331913443517E-3</v>
      </c>
      <c r="S16" s="4">
        <f t="shared" si="4"/>
        <v>7.8923071307971675</v>
      </c>
      <c r="T16" s="4"/>
      <c r="U16" s="4">
        <f t="shared" si="5"/>
        <v>88.754324549400124</v>
      </c>
      <c r="V16" s="4"/>
      <c r="W16" s="4">
        <f t="shared" si="6"/>
        <v>1.4185800000000002</v>
      </c>
      <c r="Y16">
        <f t="shared" si="8"/>
        <v>2.4083319186479323E-8</v>
      </c>
    </row>
    <row r="17" spans="2:25" x14ac:dyDescent="0.2">
      <c r="B17" t="s">
        <v>192</v>
      </c>
      <c r="C17">
        <v>-1</v>
      </c>
      <c r="D17">
        <v>1750</v>
      </c>
      <c r="E17">
        <v>0</v>
      </c>
      <c r="F17">
        <v>1500</v>
      </c>
      <c r="H17">
        <v>100</v>
      </c>
      <c r="J17">
        <v>0.31459999999999999</v>
      </c>
      <c r="K17">
        <v>4.2900000000000001E-2</v>
      </c>
      <c r="M17">
        <f t="shared" si="0"/>
        <v>1.3968240000000001</v>
      </c>
      <c r="N17">
        <f t="shared" si="1"/>
        <v>0.19047600000000001</v>
      </c>
      <c r="P17">
        <f t="shared" si="2"/>
        <v>2.3703105379263536E-2</v>
      </c>
      <c r="Q17">
        <f t="shared" si="3"/>
        <v>3.2454591923666725E-3</v>
      </c>
      <c r="S17" s="4">
        <f t="shared" si="4"/>
        <v>7.3034673906895193</v>
      </c>
      <c r="T17" s="4"/>
      <c r="U17" s="4">
        <f t="shared" si="5"/>
        <v>87.95683835500725</v>
      </c>
      <c r="V17" s="4"/>
      <c r="W17" s="4">
        <f t="shared" si="6"/>
        <v>1.5873000000000002</v>
      </c>
      <c r="Y17">
        <f t="shared" si="8"/>
        <v>2.6948564571630209E-8</v>
      </c>
    </row>
    <row r="18" spans="2:25" x14ac:dyDescent="0.2">
      <c r="B18" t="s">
        <v>193</v>
      </c>
      <c r="C18">
        <v>-1.1000000000000001</v>
      </c>
      <c r="D18">
        <v>100</v>
      </c>
      <c r="E18">
        <v>0</v>
      </c>
      <c r="F18">
        <v>1500</v>
      </c>
      <c r="H18">
        <v>100</v>
      </c>
      <c r="J18">
        <v>4.0000000000000001E-3</v>
      </c>
      <c r="K18">
        <v>4.4000000000000003E-3</v>
      </c>
      <c r="M18">
        <f t="shared" si="0"/>
        <v>1.7760000000000001E-2</v>
      </c>
      <c r="N18">
        <f t="shared" si="1"/>
        <v>1.9536000000000001E-2</v>
      </c>
      <c r="P18">
        <f t="shared" si="2"/>
        <v>3.0137451213303924E-4</v>
      </c>
      <c r="Q18">
        <f t="shared" si="3"/>
        <v>3.328676094735049E-4</v>
      </c>
      <c r="S18" s="4">
        <f t="shared" si="4"/>
        <v>0.90538851950696508</v>
      </c>
      <c r="T18" s="4"/>
      <c r="U18" s="4">
        <f t="shared" si="5"/>
        <v>47.517265389068356</v>
      </c>
      <c r="V18" s="4"/>
      <c r="W18" s="44">
        <f t="shared" si="6"/>
        <v>3.7296000000000003E-2</v>
      </c>
      <c r="Y18" s="42">
        <f t="shared" si="8"/>
        <v>6.342421216065442E-10</v>
      </c>
    </row>
    <row r="19" spans="2:25" x14ac:dyDescent="0.2">
      <c r="B19" t="s">
        <v>194</v>
      </c>
      <c r="C19">
        <v>-1.1000000000000001</v>
      </c>
      <c r="D19">
        <v>250</v>
      </c>
      <c r="E19">
        <v>0</v>
      </c>
      <c r="F19">
        <v>1500</v>
      </c>
      <c r="H19">
        <v>100</v>
      </c>
      <c r="J19">
        <v>8.8200000000000001E-2</v>
      </c>
      <c r="K19">
        <v>1.5299999999999999E-2</v>
      </c>
      <c r="M19">
        <f t="shared" si="0"/>
        <v>0.39160800000000001</v>
      </c>
      <c r="N19">
        <f t="shared" si="1"/>
        <v>6.7932000000000006E-2</v>
      </c>
      <c r="P19">
        <f t="shared" si="2"/>
        <v>6.6453079925335142E-3</v>
      </c>
      <c r="Q19">
        <f t="shared" si="3"/>
        <v>1.1574714602146875E-3</v>
      </c>
      <c r="S19" s="4">
        <f t="shared" si="4"/>
        <v>5.7412283766382837</v>
      </c>
      <c r="T19" s="4"/>
      <c r="U19" s="4">
        <f t="shared" si="5"/>
        <v>85.165908286603994</v>
      </c>
      <c r="V19" s="4"/>
      <c r="W19" s="4">
        <f t="shared" si="6"/>
        <v>0.45954</v>
      </c>
      <c r="Y19">
        <f t="shared" si="8"/>
        <v>7.8027794527482022E-9</v>
      </c>
    </row>
    <row r="20" spans="2:25" x14ac:dyDescent="0.2">
      <c r="B20" t="s">
        <v>195</v>
      </c>
      <c r="C20">
        <v>-1.1000000000000001</v>
      </c>
      <c r="D20">
        <v>500</v>
      </c>
      <c r="E20">
        <v>0</v>
      </c>
      <c r="F20">
        <v>1500</v>
      </c>
      <c r="H20">
        <v>100</v>
      </c>
      <c r="J20">
        <v>0.28039999999999998</v>
      </c>
      <c r="K20">
        <v>4.6699999999999998E-2</v>
      </c>
      <c r="M20">
        <f t="shared" si="0"/>
        <v>1.2449760000000001</v>
      </c>
      <c r="N20">
        <f t="shared" si="1"/>
        <v>0.207348</v>
      </c>
      <c r="P20">
        <f t="shared" si="2"/>
        <v>2.1126353300526049E-2</v>
      </c>
      <c r="Q20">
        <f t="shared" si="3"/>
        <v>3.5329357641846995E-3</v>
      </c>
      <c r="S20" s="4">
        <f t="shared" si="4"/>
        <v>5.9798294423282297</v>
      </c>
      <c r="T20" s="4"/>
      <c r="U20" s="4">
        <f t="shared" si="5"/>
        <v>85.673002352526908</v>
      </c>
      <c r="V20" s="4"/>
      <c r="W20" s="4">
        <f t="shared" si="6"/>
        <v>1.4523240000000002</v>
      </c>
      <c r="Y20">
        <f t="shared" si="8"/>
        <v>2.4659289064710748E-8</v>
      </c>
    </row>
    <row r="21" spans="2:25" x14ac:dyDescent="0.2">
      <c r="B21" t="s">
        <v>196</v>
      </c>
      <c r="C21">
        <v>-1.1000000000000001</v>
      </c>
      <c r="D21">
        <v>1000</v>
      </c>
      <c r="E21">
        <v>0</v>
      </c>
      <c r="F21">
        <v>1500</v>
      </c>
      <c r="H21">
        <v>100</v>
      </c>
      <c r="J21">
        <v>0.43</v>
      </c>
      <c r="K21">
        <v>8.2699999999999996E-2</v>
      </c>
      <c r="M21">
        <f t="shared" si="0"/>
        <v>1.9092000000000002</v>
      </c>
      <c r="N21">
        <f t="shared" si="1"/>
        <v>0.36718800000000001</v>
      </c>
      <c r="P21">
        <f t="shared" si="2"/>
        <v>3.2397760054301721E-2</v>
      </c>
      <c r="Q21">
        <f t="shared" si="3"/>
        <v>6.256398023513376E-3</v>
      </c>
      <c r="S21" s="4">
        <f t="shared" si="4"/>
        <v>5.1783406254751458</v>
      </c>
      <c r="T21" s="4"/>
      <c r="U21" s="4">
        <f t="shared" si="5"/>
        <v>83.814424282845437</v>
      </c>
      <c r="V21" s="4"/>
      <c r="W21" s="4">
        <f t="shared" si="6"/>
        <v>2.2763880000000003</v>
      </c>
      <c r="Y21">
        <f t="shared" si="8"/>
        <v>3.8654158077815098E-8</v>
      </c>
    </row>
    <row r="22" spans="2:25" x14ac:dyDescent="0.2">
      <c r="B22" t="s">
        <v>197</v>
      </c>
      <c r="C22">
        <v>-1.1000000000000001</v>
      </c>
      <c r="D22">
        <v>1250</v>
      </c>
      <c r="E22">
        <v>0</v>
      </c>
      <c r="F22">
        <v>1500</v>
      </c>
      <c r="H22">
        <v>100</v>
      </c>
      <c r="J22">
        <v>0.48549999999999999</v>
      </c>
      <c r="K22">
        <v>8.7300000000000003E-2</v>
      </c>
      <c r="M22">
        <f t="shared" si="0"/>
        <v>2.1556200000000003</v>
      </c>
      <c r="N22">
        <f t="shared" si="1"/>
        <v>0.38761200000000007</v>
      </c>
      <c r="P22">
        <f t="shared" si="2"/>
        <v>3.6579331410147638E-2</v>
      </c>
      <c r="Q22">
        <f t="shared" si="3"/>
        <v>6.6043959788720406E-3</v>
      </c>
      <c r="S22" s="4">
        <f t="shared" si="4"/>
        <v>5.5386338928143726</v>
      </c>
      <c r="T22" s="4"/>
      <c r="U22" s="4">
        <f t="shared" si="5"/>
        <v>84.706285496440643</v>
      </c>
      <c r="V22" s="4"/>
      <c r="W22" s="4">
        <f t="shared" si="6"/>
        <v>2.5432320000000006</v>
      </c>
      <c r="Y22">
        <f t="shared" si="8"/>
        <v>4.3183727389019674E-8</v>
      </c>
    </row>
    <row r="23" spans="2:25" x14ac:dyDescent="0.2">
      <c r="B23" t="s">
        <v>198</v>
      </c>
      <c r="C23">
        <v>-1.1000000000000001</v>
      </c>
      <c r="D23">
        <v>1500</v>
      </c>
      <c r="E23">
        <v>0</v>
      </c>
      <c r="F23">
        <v>1500</v>
      </c>
      <c r="H23">
        <v>100</v>
      </c>
      <c r="J23">
        <v>1.7799</v>
      </c>
      <c r="K23">
        <v>0.57479999999999998</v>
      </c>
      <c r="M23">
        <f t="shared" si="0"/>
        <v>7.902756000000001</v>
      </c>
      <c r="N23">
        <f t="shared" si="1"/>
        <v>2.5521120000000002</v>
      </c>
      <c r="P23">
        <f t="shared" si="2"/>
        <v>0.13410412353639914</v>
      </c>
      <c r="Q23">
        <f t="shared" si="3"/>
        <v>4.3484614073947866E-2</v>
      </c>
      <c r="S23" s="4">
        <f t="shared" si="4"/>
        <v>3.0839442039970284</v>
      </c>
      <c r="T23" s="4"/>
      <c r="U23" s="4">
        <f t="shared" si="5"/>
        <v>75.5138672310635</v>
      </c>
      <c r="V23" s="4"/>
      <c r="W23" s="4">
        <f t="shared" si="6"/>
        <v>10.454868000000001</v>
      </c>
      <c r="Y23">
        <f t="shared" si="8"/>
        <v>1.77588737610347E-7</v>
      </c>
    </row>
    <row r="24" spans="2:25" x14ac:dyDescent="0.2">
      <c r="B24" t="s">
        <v>199</v>
      </c>
      <c r="C24">
        <v>-1.1000000000000001</v>
      </c>
      <c r="D24">
        <v>1750</v>
      </c>
      <c r="E24">
        <v>0</v>
      </c>
      <c r="F24">
        <v>1500</v>
      </c>
      <c r="H24">
        <v>100</v>
      </c>
      <c r="J24">
        <v>2.4502000000000002</v>
      </c>
      <c r="K24">
        <v>0.88419999999999999</v>
      </c>
      <c r="M24">
        <f t="shared" si="0"/>
        <v>10.878888000000002</v>
      </c>
      <c r="N24">
        <f t="shared" si="1"/>
        <v>3.9258480000000002</v>
      </c>
      <c r="P24">
        <f t="shared" si="2"/>
        <v>0.18460695740709318</v>
      </c>
      <c r="Q24">
        <f t="shared" si="3"/>
        <v>6.6891259158289321E-2</v>
      </c>
      <c r="S24" s="4">
        <f t="shared" si="4"/>
        <v>2.7598068825441784</v>
      </c>
      <c r="T24" s="4"/>
      <c r="U24" s="4">
        <f t="shared" si="5"/>
        <v>73.402889264266619</v>
      </c>
      <c r="V24" s="4"/>
      <c r="W24" s="4">
        <f t="shared" si="6"/>
        <v>14.804736000000002</v>
      </c>
      <c r="Y24">
        <f t="shared" si="8"/>
        <v>2.5149821656538251E-7</v>
      </c>
    </row>
    <row r="25" spans="2:25" x14ac:dyDescent="0.2">
      <c r="B25" t="s">
        <v>200</v>
      </c>
      <c r="C25">
        <v>-1.2</v>
      </c>
      <c r="D25">
        <v>100</v>
      </c>
      <c r="E25">
        <v>0</v>
      </c>
      <c r="F25">
        <v>1500</v>
      </c>
      <c r="H25">
        <v>100</v>
      </c>
      <c r="J25">
        <v>8.3799999999999999E-2</v>
      </c>
      <c r="K25">
        <v>2.8899999999999999E-2</v>
      </c>
      <c r="M25">
        <f t="shared" si="0"/>
        <v>0.37207200000000001</v>
      </c>
      <c r="N25">
        <f t="shared" si="1"/>
        <v>0.12831600000000001</v>
      </c>
      <c r="P25">
        <f t="shared" si="2"/>
        <v>6.3137960291871718E-3</v>
      </c>
      <c r="Q25">
        <f t="shared" si="3"/>
        <v>2.1863349804055209E-3</v>
      </c>
      <c r="S25" s="4">
        <f t="shared" si="4"/>
        <v>2.8878447656800015</v>
      </c>
      <c r="T25" s="4"/>
      <c r="U25" s="4">
        <f t="shared" si="5"/>
        <v>74.278808433209264</v>
      </c>
      <c r="V25" s="4"/>
      <c r="W25" s="4">
        <f t="shared" si="6"/>
        <v>0.50038800000000005</v>
      </c>
      <c r="Y25">
        <f t="shared" si="8"/>
        <v>8.5001310095926916E-9</v>
      </c>
    </row>
    <row r="26" spans="2:25" x14ac:dyDescent="0.2">
      <c r="B26" t="s">
        <v>201</v>
      </c>
      <c r="C26">
        <v>-1.2</v>
      </c>
      <c r="D26">
        <v>250</v>
      </c>
      <c r="E26">
        <v>0</v>
      </c>
      <c r="F26">
        <v>1500</v>
      </c>
      <c r="H26">
        <v>100</v>
      </c>
      <c r="J26">
        <v>0.37140000000000001</v>
      </c>
      <c r="K26">
        <v>0.112</v>
      </c>
      <c r="M26">
        <f t="shared" si="0"/>
        <v>1.6490160000000003</v>
      </c>
      <c r="N26">
        <f t="shared" si="1"/>
        <v>0.49728000000000006</v>
      </c>
      <c r="P26">
        <f t="shared" si="2"/>
        <v>2.7982623451552693E-2</v>
      </c>
      <c r="Q26">
        <f t="shared" si="3"/>
        <v>8.4729936956892161E-3</v>
      </c>
      <c r="S26" s="4">
        <f t="shared" si="4"/>
        <v>3.3025663014229956</v>
      </c>
      <c r="T26" s="4"/>
      <c r="U26" s="4">
        <f t="shared" si="5"/>
        <v>76.758057169990195</v>
      </c>
      <c r="V26" s="4"/>
      <c r="W26" s="4">
        <f t="shared" si="6"/>
        <v>2.1462960000000004</v>
      </c>
      <c r="Y26">
        <f t="shared" si="8"/>
        <v>3.6455617147241907E-8</v>
      </c>
    </row>
    <row r="27" spans="2:25" x14ac:dyDescent="0.2">
      <c r="B27" t="s">
        <v>202</v>
      </c>
      <c r="C27">
        <v>-1.2</v>
      </c>
      <c r="D27">
        <v>500</v>
      </c>
      <c r="E27">
        <v>0</v>
      </c>
      <c r="F27">
        <v>1500</v>
      </c>
      <c r="H27">
        <v>100</v>
      </c>
      <c r="J27">
        <v>0.43609999999999999</v>
      </c>
      <c r="K27">
        <v>0.11700000000000001</v>
      </c>
      <c r="M27">
        <f t="shared" si="0"/>
        <v>1.9362840000000001</v>
      </c>
      <c r="N27">
        <f t="shared" si="1"/>
        <v>0.51948000000000005</v>
      </c>
      <c r="P27">
        <f t="shared" si="2"/>
        <v>3.2857356185304602E-2</v>
      </c>
      <c r="Q27">
        <f t="shared" si="3"/>
        <v>8.8512523428181979E-3</v>
      </c>
      <c r="S27" s="4">
        <f t="shared" si="4"/>
        <v>3.7121703136127029</v>
      </c>
      <c r="T27" s="4"/>
      <c r="U27" s="4">
        <f t="shared" si="5"/>
        <v>78.778356183112464</v>
      </c>
      <c r="V27" s="4"/>
      <c r="W27" s="4">
        <f t="shared" si="6"/>
        <v>2.4557640000000003</v>
      </c>
      <c r="Y27">
        <f t="shared" si="8"/>
        <v>4.1708608528122806E-8</v>
      </c>
    </row>
    <row r="28" spans="2:25" x14ac:dyDescent="0.2">
      <c r="B28" t="s">
        <v>203</v>
      </c>
      <c r="C28">
        <v>-1.2</v>
      </c>
      <c r="D28">
        <v>1000</v>
      </c>
      <c r="E28">
        <v>0</v>
      </c>
      <c r="F28">
        <v>1500</v>
      </c>
      <c r="H28">
        <v>100</v>
      </c>
      <c r="J28">
        <v>0.70289999999999997</v>
      </c>
      <c r="K28">
        <v>0.184</v>
      </c>
      <c r="M28">
        <f t="shared" si="0"/>
        <v>3.120876</v>
      </c>
      <c r="N28">
        <f t="shared" si="1"/>
        <v>0.81696000000000002</v>
      </c>
      <c r="P28">
        <f t="shared" si="2"/>
        <v>5.2959036144578316E-2</v>
      </c>
      <c r="Q28">
        <f t="shared" si="3"/>
        <v>1.3919918214346568E-2</v>
      </c>
      <c r="S28" s="4">
        <f t="shared" si="4"/>
        <v>3.8045508119434257</v>
      </c>
      <c r="T28" s="4"/>
      <c r="U28" s="4">
        <f t="shared" si="5"/>
        <v>79.186399745962873</v>
      </c>
      <c r="V28" s="4"/>
      <c r="W28" s="4">
        <f t="shared" si="6"/>
        <v>3.9378359999999999</v>
      </c>
      <c r="Y28">
        <f t="shared" si="8"/>
        <v>6.6878954358924882E-8</v>
      </c>
    </row>
    <row r="29" spans="2:25" x14ac:dyDescent="0.2">
      <c r="B29" t="s">
        <v>204</v>
      </c>
      <c r="C29">
        <v>-1.2</v>
      </c>
      <c r="D29">
        <v>1250</v>
      </c>
      <c r="E29">
        <v>0</v>
      </c>
      <c r="F29">
        <v>1500</v>
      </c>
      <c r="H29">
        <v>100</v>
      </c>
      <c r="J29">
        <v>3.2665999999999999</v>
      </c>
      <c r="K29">
        <v>1.6184000000000001</v>
      </c>
      <c r="M29">
        <f t="shared" si="0"/>
        <v>14.503704000000001</v>
      </c>
      <c r="N29">
        <f t="shared" si="1"/>
        <v>7.185696000000001</v>
      </c>
      <c r="P29">
        <f t="shared" si="2"/>
        <v>0.24611749533344648</v>
      </c>
      <c r="Q29">
        <f t="shared" si="3"/>
        <v>0.12243475890270918</v>
      </c>
      <c r="S29" s="4">
        <f t="shared" si="4"/>
        <v>2.0101930002493802</v>
      </c>
      <c r="T29" s="4"/>
      <c r="U29" s="4">
        <f t="shared" si="5"/>
        <v>66.77953872335911</v>
      </c>
      <c r="V29" s="4"/>
      <c r="W29" s="4">
        <f t="shared" si="6"/>
        <v>21.689400000000003</v>
      </c>
      <c r="Y29">
        <f t="shared" si="8"/>
        <v>3.6855225423615567E-7</v>
      </c>
    </row>
    <row r="30" spans="2:25" x14ac:dyDescent="0.2">
      <c r="B30" t="s">
        <v>205</v>
      </c>
      <c r="C30">
        <v>-1.2</v>
      </c>
      <c r="D30">
        <v>1500</v>
      </c>
      <c r="E30">
        <v>0</v>
      </c>
      <c r="F30">
        <v>1500</v>
      </c>
      <c r="H30">
        <v>50</v>
      </c>
      <c r="J30">
        <v>2.1537999999999999</v>
      </c>
      <c r="K30">
        <v>1.2504999999999999</v>
      </c>
      <c r="M30">
        <f t="shared" si="0"/>
        <v>9.5628720000000005</v>
      </c>
      <c r="N30">
        <f t="shared" si="1"/>
        <v>5.5522200000000002</v>
      </c>
      <c r="P30">
        <f t="shared" si="2"/>
        <v>0.16227510605803497</v>
      </c>
      <c r="Q30">
        <f t="shared" si="3"/>
        <v>9.4602487646958597E-2</v>
      </c>
      <c r="S30" s="4">
        <f t="shared" si="4"/>
        <v>1.7153365634910129</v>
      </c>
      <c r="T30" s="4"/>
      <c r="U30" s="4">
        <f t="shared" si="5"/>
        <v>63.172152820925618</v>
      </c>
      <c r="V30" s="4"/>
      <c r="W30" s="4">
        <f t="shared" si="6"/>
        <v>15.115092000000001</v>
      </c>
      <c r="Y30">
        <f t="shared" si="8"/>
        <v>2.5687759370499358E-7</v>
      </c>
    </row>
    <row r="31" spans="2:25" x14ac:dyDescent="0.2">
      <c r="B31" t="s">
        <v>206</v>
      </c>
      <c r="C31">
        <v>-1.2</v>
      </c>
      <c r="D31">
        <v>1750</v>
      </c>
      <c r="E31">
        <v>0</v>
      </c>
      <c r="F31">
        <v>1500</v>
      </c>
      <c r="H31">
        <v>50</v>
      </c>
      <c r="J31">
        <v>2.2614999999999998</v>
      </c>
      <c r="K31">
        <v>1.3181</v>
      </c>
      <c r="M31">
        <f t="shared" si="0"/>
        <v>10.04106</v>
      </c>
      <c r="N31">
        <f t="shared" si="1"/>
        <v>5.8523640000000006</v>
      </c>
      <c r="P31">
        <f t="shared" si="2"/>
        <v>0.17038961479721704</v>
      </c>
      <c r="Q31">
        <f t="shared" si="3"/>
        <v>9.9716544556142456E-2</v>
      </c>
      <c r="S31" s="4">
        <f t="shared" si="4"/>
        <v>1.7087396635699124</v>
      </c>
      <c r="T31" s="4"/>
      <c r="U31" s="4">
        <f t="shared" si="5"/>
        <v>63.082461801364985</v>
      </c>
      <c r="V31" s="4"/>
      <c r="W31" s="4">
        <f t="shared" si="6"/>
        <v>15.893424</v>
      </c>
      <c r="Y31">
        <f t="shared" si="8"/>
        <v>2.7010615935335945E-7</v>
      </c>
    </row>
  </sheetData>
  <mergeCells count="3">
    <mergeCell ref="J1:K1"/>
    <mergeCell ref="M1:N1"/>
    <mergeCell ref="P1:Q1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AF81-FB39-4FC5-8767-291EEE5B22D2}">
  <sheetPr codeName="Sheet5"/>
  <dimension ref="B1:Y10"/>
  <sheetViews>
    <sheetView zoomScale="70" zoomScaleNormal="70" workbookViewId="0">
      <selection activeCell="F4" sqref="F4"/>
    </sheetView>
  </sheetViews>
  <sheetFormatPr baseColWidth="10" defaultColWidth="8.83203125" defaultRowHeight="15" x14ac:dyDescent="0.2"/>
  <sheetData>
    <row r="1" spans="2:25" x14ac:dyDescent="0.2">
      <c r="J1" s="57" t="s">
        <v>75</v>
      </c>
      <c r="K1" s="57"/>
      <c r="L1" s="2"/>
      <c r="M1" s="57" t="s">
        <v>0</v>
      </c>
      <c r="N1" s="57"/>
      <c r="O1" s="1"/>
      <c r="P1" s="57" t="s">
        <v>1</v>
      </c>
      <c r="Q1" s="57"/>
      <c r="R1" s="2"/>
      <c r="S1" s="3" t="s">
        <v>2</v>
      </c>
      <c r="T1" s="4"/>
      <c r="U1" s="3" t="s">
        <v>3</v>
      </c>
      <c r="V1" s="4"/>
      <c r="W1" s="3" t="s">
        <v>4</v>
      </c>
      <c r="Y1" s="3" t="s">
        <v>77</v>
      </c>
    </row>
    <row r="2" spans="2:25" x14ac:dyDescent="0.2">
      <c r="S2" s="4"/>
      <c r="T2" s="4"/>
      <c r="U2" s="4"/>
      <c r="V2" s="4"/>
      <c r="W2" s="4"/>
    </row>
    <row r="3" spans="2:25" x14ac:dyDescent="0.2">
      <c r="B3" s="2" t="s">
        <v>5</v>
      </c>
      <c r="C3" s="2" t="s">
        <v>229</v>
      </c>
      <c r="D3" s="2" t="s">
        <v>213</v>
      </c>
      <c r="E3" s="2"/>
      <c r="F3" s="2" t="s">
        <v>230</v>
      </c>
      <c r="G3" s="2"/>
      <c r="H3" s="2"/>
      <c r="J3" s="2" t="s">
        <v>6</v>
      </c>
      <c r="K3" s="2" t="s">
        <v>7</v>
      </c>
      <c r="L3" s="2"/>
      <c r="M3" s="2" t="s">
        <v>8</v>
      </c>
      <c r="N3" s="2" t="s">
        <v>9</v>
      </c>
      <c r="O3" s="2"/>
      <c r="P3" s="2" t="s">
        <v>8</v>
      </c>
      <c r="Q3" s="2" t="s">
        <v>9</v>
      </c>
      <c r="R3" s="2"/>
      <c r="S3" s="3"/>
      <c r="T3" s="3"/>
      <c r="U3" s="3"/>
      <c r="V3" s="4"/>
      <c r="W3" s="4"/>
    </row>
    <row r="4" spans="2:25" x14ac:dyDescent="0.2">
      <c r="S4" s="4"/>
      <c r="T4" s="4"/>
      <c r="U4" s="4"/>
      <c r="V4" s="4"/>
      <c r="W4" s="4"/>
    </row>
    <row r="5" spans="2:25" x14ac:dyDescent="0.2">
      <c r="B5" t="s">
        <v>207</v>
      </c>
      <c r="C5">
        <v>-0.9</v>
      </c>
      <c r="D5">
        <v>100000</v>
      </c>
      <c r="F5">
        <v>100</v>
      </c>
      <c r="J5">
        <v>1.2587999999999999</v>
      </c>
      <c r="K5">
        <v>0.29630000000000001</v>
      </c>
      <c r="M5">
        <f t="shared" ref="M5:N10" si="0">J5*4.44</f>
        <v>5.5890719999999998</v>
      </c>
      <c r="N5">
        <f t="shared" si="0"/>
        <v>1.3155720000000002</v>
      </c>
      <c r="P5">
        <f t="shared" ref="P5:P10" si="1">M5/58.93</f>
        <v>9.4842558968267432E-2</v>
      </c>
      <c r="Q5">
        <f t="shared" ref="Q5:Q10" si="2">N5/58.69</f>
        <v>2.2415607428863525E-2</v>
      </c>
      <c r="S5" s="4">
        <f t="shared" ref="S5:S10" si="3">P5/Q5</f>
        <v>4.2310947525848945</v>
      </c>
      <c r="T5" s="4"/>
      <c r="U5" s="4">
        <f t="shared" ref="U5:U10" si="4">P5*100/(P5+Q5)</f>
        <v>80.883542598691037</v>
      </c>
      <c r="V5" s="4"/>
      <c r="W5" s="4">
        <f t="shared" ref="W5:W10" si="5">M5+N5</f>
        <v>6.9046440000000002</v>
      </c>
      <c r="Y5">
        <f t="shared" ref="Y5:Y10" si="6">(P5+Q5)/1000000</f>
        <v>1.1725816639713096E-7</v>
      </c>
    </row>
    <row r="6" spans="2:25" x14ac:dyDescent="0.2">
      <c r="B6" t="s">
        <v>208</v>
      </c>
      <c r="C6">
        <v>-1</v>
      </c>
      <c r="D6">
        <v>100000</v>
      </c>
      <c r="F6">
        <v>100</v>
      </c>
      <c r="J6">
        <v>2.1991000000000001</v>
      </c>
      <c r="K6">
        <v>1.2551000000000001</v>
      </c>
      <c r="M6">
        <f t="shared" si="0"/>
        <v>9.7640040000000017</v>
      </c>
      <c r="N6">
        <f t="shared" si="0"/>
        <v>5.5726440000000013</v>
      </c>
      <c r="P6">
        <f t="shared" si="1"/>
        <v>0.16568817240794165</v>
      </c>
      <c r="Q6">
        <f t="shared" si="2"/>
        <v>9.4950485602317281E-2</v>
      </c>
      <c r="S6" s="4">
        <f t="shared" si="3"/>
        <v>1.744995524318814</v>
      </c>
      <c r="T6" s="4"/>
      <c r="U6" s="4">
        <f t="shared" si="4"/>
        <v>63.570068106098077</v>
      </c>
      <c r="V6" s="4"/>
      <c r="W6" s="4">
        <f t="shared" si="5"/>
        <v>15.336648000000004</v>
      </c>
      <c r="Y6">
        <f t="shared" si="6"/>
        <v>2.6063865801025893E-7</v>
      </c>
    </row>
    <row r="7" spans="2:25" x14ac:dyDescent="0.2">
      <c r="B7" t="s">
        <v>209</v>
      </c>
      <c r="C7">
        <v>-1.1000000000000001</v>
      </c>
      <c r="D7">
        <v>100000</v>
      </c>
      <c r="F7">
        <v>100</v>
      </c>
      <c r="J7">
        <v>2.9317000000000002</v>
      </c>
      <c r="K7">
        <v>2.5213000000000001</v>
      </c>
      <c r="M7">
        <f t="shared" si="0"/>
        <v>13.016748000000002</v>
      </c>
      <c r="N7">
        <f t="shared" si="0"/>
        <v>11.194572000000001</v>
      </c>
      <c r="P7">
        <f t="shared" si="1"/>
        <v>0.22088491430510779</v>
      </c>
      <c r="Q7">
        <f t="shared" si="2"/>
        <v>0.1907407054012609</v>
      </c>
      <c r="S7" s="4">
        <f t="shared" si="3"/>
        <v>1.1580376293588333</v>
      </c>
      <c r="T7" s="4"/>
      <c r="U7" s="4">
        <f t="shared" si="4"/>
        <v>53.661605043601284</v>
      </c>
      <c r="V7" s="4"/>
      <c r="W7" s="4">
        <f t="shared" si="5"/>
        <v>24.211320000000001</v>
      </c>
      <c r="Y7">
        <f t="shared" si="6"/>
        <v>4.116256197063687E-7</v>
      </c>
    </row>
    <row r="8" spans="2:25" x14ac:dyDescent="0.2">
      <c r="B8" t="s">
        <v>210</v>
      </c>
      <c r="C8">
        <v>-1.2</v>
      </c>
      <c r="D8">
        <v>100000</v>
      </c>
      <c r="F8">
        <v>100</v>
      </c>
      <c r="J8">
        <v>3.3062</v>
      </c>
      <c r="K8">
        <v>3.2191999999999998</v>
      </c>
      <c r="M8">
        <f t="shared" si="0"/>
        <v>14.679528000000001</v>
      </c>
      <c r="N8">
        <f t="shared" si="0"/>
        <v>14.293248</v>
      </c>
      <c r="P8">
        <f t="shared" si="1"/>
        <v>0.24910110300356358</v>
      </c>
      <c r="Q8">
        <f t="shared" si="2"/>
        <v>0.2435380473675243</v>
      </c>
      <c r="S8" s="4">
        <f t="shared" si="3"/>
        <v>1.0228426551669114</v>
      </c>
      <c r="T8" s="4"/>
      <c r="U8" s="4">
        <f t="shared" si="4"/>
        <v>50.564617695512915</v>
      </c>
      <c r="V8" s="4"/>
      <c r="W8" s="4">
        <f t="shared" si="5"/>
        <v>28.972776000000003</v>
      </c>
      <c r="Y8">
        <f t="shared" si="6"/>
        <v>4.9263915037108787E-7</v>
      </c>
    </row>
    <row r="9" spans="2:25" x14ac:dyDescent="0.2">
      <c r="B9" t="s">
        <v>211</v>
      </c>
      <c r="C9">
        <v>-1.3</v>
      </c>
      <c r="D9">
        <v>100000</v>
      </c>
      <c r="F9">
        <v>100</v>
      </c>
      <c r="J9">
        <v>3.5636000000000001</v>
      </c>
      <c r="K9">
        <v>3.5121000000000002</v>
      </c>
      <c r="M9">
        <f t="shared" si="0"/>
        <v>15.822384000000001</v>
      </c>
      <c r="N9">
        <f t="shared" si="0"/>
        <v>15.593724000000002</v>
      </c>
      <c r="P9">
        <f t="shared" si="1"/>
        <v>0.26849455285932466</v>
      </c>
      <c r="Q9">
        <f t="shared" si="2"/>
        <v>0.26569643891634015</v>
      </c>
      <c r="S9" s="4">
        <f t="shared" si="3"/>
        <v>1.0105312436794291</v>
      </c>
      <c r="T9" s="4"/>
      <c r="U9" s="4">
        <f t="shared" si="4"/>
        <v>50.261902015015593</v>
      </c>
      <c r="V9" s="4"/>
      <c r="W9" s="4">
        <f t="shared" si="5"/>
        <v>31.416108000000001</v>
      </c>
      <c r="Y9">
        <f t="shared" si="6"/>
        <v>5.3419099177566485E-7</v>
      </c>
    </row>
    <row r="10" spans="2:25" x14ac:dyDescent="0.2">
      <c r="B10" t="s">
        <v>212</v>
      </c>
      <c r="C10">
        <v>-1.4</v>
      </c>
      <c r="D10">
        <v>100000</v>
      </c>
      <c r="F10">
        <v>100</v>
      </c>
      <c r="J10">
        <v>3.8525</v>
      </c>
      <c r="K10">
        <v>3.7965</v>
      </c>
      <c r="M10">
        <f t="shared" si="0"/>
        <v>17.1051</v>
      </c>
      <c r="N10">
        <f t="shared" si="0"/>
        <v>16.856460000000002</v>
      </c>
      <c r="P10">
        <f t="shared" si="1"/>
        <v>0.2902613269981334</v>
      </c>
      <c r="Q10">
        <f t="shared" si="2"/>
        <v>0.28721179076503667</v>
      </c>
      <c r="S10" s="4">
        <f t="shared" si="3"/>
        <v>1.0106177264692853</v>
      </c>
      <c r="T10" s="4"/>
      <c r="U10" s="4">
        <f t="shared" si="4"/>
        <v>50.264041402040419</v>
      </c>
      <c r="V10" s="4"/>
      <c r="W10" s="4">
        <f t="shared" si="5"/>
        <v>33.961560000000006</v>
      </c>
      <c r="Y10">
        <f t="shared" si="6"/>
        <v>5.7747311776316999E-7</v>
      </c>
    </row>
  </sheetData>
  <mergeCells count="3">
    <mergeCell ref="J1:K1"/>
    <mergeCell ref="M1:N1"/>
    <mergeCell ref="P1:Q1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0E681-6953-4889-B9FD-E18ED9F3811A}">
  <sheetPr codeName="Sheet6"/>
  <dimension ref="B1:Y39"/>
  <sheetViews>
    <sheetView tabSelected="1" topLeftCell="J33" zoomScale="125" zoomScaleNormal="70" workbookViewId="0">
      <selection activeCell="B39" sqref="B39:Y39"/>
    </sheetView>
  </sheetViews>
  <sheetFormatPr baseColWidth="10" defaultColWidth="8.83203125" defaultRowHeight="15" x14ac:dyDescent="0.2"/>
  <cols>
    <col min="13" max="13" width="11.5" customWidth="1"/>
    <col min="24" max="24" width="19.5" customWidth="1"/>
    <col min="25" max="25" width="13.33203125" bestFit="1" customWidth="1"/>
  </cols>
  <sheetData>
    <row r="1" spans="2:25" x14ac:dyDescent="0.2">
      <c r="J1" s="57" t="s">
        <v>75</v>
      </c>
      <c r="K1" s="57"/>
      <c r="L1" s="2"/>
      <c r="M1" s="57" t="s">
        <v>0</v>
      </c>
      <c r="N1" s="57"/>
      <c r="O1" s="1"/>
      <c r="P1" s="57" t="s">
        <v>76</v>
      </c>
      <c r="Q1" s="57"/>
      <c r="R1" s="2"/>
      <c r="S1" s="3" t="s">
        <v>2</v>
      </c>
      <c r="T1" s="4"/>
      <c r="U1" s="3" t="s">
        <v>3</v>
      </c>
      <c r="V1" s="4"/>
      <c r="W1" s="3" t="s">
        <v>4</v>
      </c>
      <c r="Y1" t="s">
        <v>77</v>
      </c>
    </row>
    <row r="2" spans="2:25" x14ac:dyDescent="0.2">
      <c r="S2" s="4"/>
      <c r="T2" s="4"/>
      <c r="U2" s="3"/>
      <c r="V2" s="4"/>
      <c r="W2" s="4"/>
    </row>
    <row r="3" spans="2:25" x14ac:dyDescent="0.2">
      <c r="B3" s="31" t="s">
        <v>5</v>
      </c>
      <c r="C3" s="2" t="s">
        <v>214</v>
      </c>
      <c r="D3" s="2" t="s">
        <v>213</v>
      </c>
      <c r="E3" s="2" t="s">
        <v>215</v>
      </c>
      <c r="F3" s="2" t="s">
        <v>216</v>
      </c>
      <c r="G3" s="2"/>
      <c r="H3" s="2" t="s">
        <v>217</v>
      </c>
      <c r="J3" s="2" t="s">
        <v>6</v>
      </c>
      <c r="K3" s="2" t="s">
        <v>7</v>
      </c>
      <c r="L3" s="2"/>
      <c r="M3" s="2" t="s">
        <v>8</v>
      </c>
      <c r="N3" s="2" t="s">
        <v>9</v>
      </c>
      <c r="O3" s="2"/>
      <c r="P3" s="2" t="s">
        <v>8</v>
      </c>
      <c r="Q3" s="2" t="s">
        <v>9</v>
      </c>
      <c r="R3" s="2"/>
      <c r="S3" s="3"/>
      <c r="T3" s="3"/>
      <c r="U3" s="3"/>
      <c r="V3" s="4"/>
      <c r="W3" s="4"/>
    </row>
    <row r="5" spans="2:25" x14ac:dyDescent="0.2">
      <c r="B5" t="s">
        <v>231</v>
      </c>
      <c r="C5">
        <v>-1</v>
      </c>
      <c r="D5">
        <v>1500</v>
      </c>
      <c r="E5">
        <v>0</v>
      </c>
      <c r="F5">
        <v>1000</v>
      </c>
      <c r="H5">
        <v>10</v>
      </c>
      <c r="J5" s="45">
        <v>9.4200000000000006E-2</v>
      </c>
      <c r="K5" s="45">
        <v>1.6899999999999998E-2</v>
      </c>
      <c r="M5">
        <f t="shared" ref="M5:N12" si="0">J5*4.44</f>
        <v>0.41824800000000006</v>
      </c>
      <c r="N5">
        <f t="shared" si="0"/>
        <v>7.5036000000000005E-2</v>
      </c>
      <c r="P5">
        <f t="shared" ref="P5:P12" si="1">M5/58.93</f>
        <v>7.0973697607330738E-3</v>
      </c>
      <c r="Q5">
        <f t="shared" ref="Q5:Q12" si="2">N5/58.69</f>
        <v>1.2785142272959619E-3</v>
      </c>
      <c r="S5" s="4">
        <f t="shared" ref="S5:S12" si="3">P5/Q5</f>
        <v>5.5512638101367884</v>
      </c>
      <c r="U5" s="4">
        <f t="shared" ref="U5:U12" si="4">P5*100/(P5+Q5)</f>
        <v>84.735769631918998</v>
      </c>
      <c r="W5" s="4">
        <f t="shared" ref="W5:W12" si="5">M5+N5</f>
        <v>0.49328400000000006</v>
      </c>
      <c r="Y5">
        <f t="shared" ref="Y5:Y12" si="6">(P5+Q5)/1000000</f>
        <v>8.3758839880290367E-9</v>
      </c>
    </row>
    <row r="6" spans="2:25" x14ac:dyDescent="0.2">
      <c r="B6" t="s">
        <v>232</v>
      </c>
      <c r="C6">
        <v>-1</v>
      </c>
      <c r="D6">
        <v>1500</v>
      </c>
      <c r="E6">
        <v>0</v>
      </c>
      <c r="F6">
        <v>1000</v>
      </c>
      <c r="H6">
        <v>25</v>
      </c>
      <c r="J6" s="45">
        <v>0.14680000000000001</v>
      </c>
      <c r="K6" s="45">
        <v>2.58E-2</v>
      </c>
      <c r="M6">
        <f t="shared" si="0"/>
        <v>0.65179200000000015</v>
      </c>
      <c r="N6">
        <f t="shared" si="0"/>
        <v>0.11455200000000001</v>
      </c>
      <c r="P6">
        <f t="shared" si="1"/>
        <v>1.1060444595282541E-2</v>
      </c>
      <c r="Q6">
        <f t="shared" si="2"/>
        <v>1.9518146191855516E-3</v>
      </c>
      <c r="S6" s="4">
        <f t="shared" si="3"/>
        <v>5.6667495399218888</v>
      </c>
      <c r="U6" s="4">
        <f t="shared" si="4"/>
        <v>85.000186462506335</v>
      </c>
      <c r="W6" s="4">
        <f t="shared" si="5"/>
        <v>0.76634400000000014</v>
      </c>
      <c r="Y6">
        <f t="shared" si="6"/>
        <v>1.3012259214468093E-8</v>
      </c>
    </row>
    <row r="7" spans="2:25" x14ac:dyDescent="0.2">
      <c r="B7" t="s">
        <v>233</v>
      </c>
      <c r="C7">
        <v>-1</v>
      </c>
      <c r="D7">
        <v>1500</v>
      </c>
      <c r="E7">
        <v>0</v>
      </c>
      <c r="F7">
        <v>1000</v>
      </c>
      <c r="H7">
        <v>50</v>
      </c>
      <c r="J7" s="45">
        <v>0.21279999999999999</v>
      </c>
      <c r="K7" s="45">
        <v>2.9700000000000001E-2</v>
      </c>
      <c r="M7">
        <f t="shared" si="0"/>
        <v>0.94483200000000001</v>
      </c>
      <c r="N7">
        <f t="shared" si="0"/>
        <v>0.13186800000000001</v>
      </c>
      <c r="P7">
        <f t="shared" si="1"/>
        <v>1.6033124045477687E-2</v>
      </c>
      <c r="Q7">
        <f t="shared" si="2"/>
        <v>2.2468563639461581E-3</v>
      </c>
      <c r="S7" s="4">
        <f t="shared" si="3"/>
        <v>7.1358028500400801</v>
      </c>
      <c r="U7" s="4">
        <f t="shared" si="4"/>
        <v>87.708650044352126</v>
      </c>
      <c r="W7" s="4">
        <f t="shared" si="5"/>
        <v>1.0767</v>
      </c>
      <c r="Y7">
        <f t="shared" si="6"/>
        <v>1.8279980409423843E-8</v>
      </c>
    </row>
    <row r="8" spans="2:25" x14ac:dyDescent="0.2">
      <c r="B8" t="s">
        <v>234</v>
      </c>
      <c r="C8">
        <v>-1</v>
      </c>
      <c r="D8">
        <v>1500</v>
      </c>
      <c r="E8">
        <v>0</v>
      </c>
      <c r="F8">
        <v>1000</v>
      </c>
      <c r="H8">
        <v>75</v>
      </c>
      <c r="J8" s="45">
        <v>0.21540000000000001</v>
      </c>
      <c r="K8" s="45">
        <v>3.3799999999999997E-2</v>
      </c>
      <c r="M8">
        <f t="shared" si="0"/>
        <v>0.95637600000000011</v>
      </c>
      <c r="N8">
        <f t="shared" si="0"/>
        <v>0.15007200000000001</v>
      </c>
      <c r="P8">
        <f t="shared" si="1"/>
        <v>1.6229017478364163E-2</v>
      </c>
      <c r="Q8">
        <f t="shared" si="2"/>
        <v>2.5570284545919238E-3</v>
      </c>
      <c r="S8" s="4">
        <f t="shared" si="3"/>
        <v>6.3468270950290036</v>
      </c>
      <c r="U8" s="4">
        <f t="shared" si="4"/>
        <v>86.388681983864601</v>
      </c>
      <c r="W8" s="4">
        <f t="shared" si="5"/>
        <v>1.1064480000000001</v>
      </c>
      <c r="Y8">
        <f t="shared" si="6"/>
        <v>1.8786045932956087E-8</v>
      </c>
    </row>
    <row r="9" spans="2:25" x14ac:dyDescent="0.2">
      <c r="B9" t="s">
        <v>235</v>
      </c>
      <c r="C9">
        <v>-1</v>
      </c>
      <c r="D9">
        <v>1500</v>
      </c>
      <c r="E9">
        <v>0</v>
      </c>
      <c r="F9">
        <v>1000</v>
      </c>
      <c r="H9">
        <v>76.5</v>
      </c>
      <c r="J9" s="45">
        <v>0.30830000000000002</v>
      </c>
      <c r="K9" s="45">
        <v>5.0799999999999998E-2</v>
      </c>
      <c r="M9">
        <f t="shared" si="0"/>
        <v>1.3688520000000002</v>
      </c>
      <c r="N9">
        <f t="shared" si="0"/>
        <v>0.225552</v>
      </c>
      <c r="P9">
        <f t="shared" si="1"/>
        <v>2.3228440522653999E-2</v>
      </c>
      <c r="Q9">
        <f t="shared" si="2"/>
        <v>3.8431078548304652E-3</v>
      </c>
      <c r="S9" s="4">
        <f t="shared" si="3"/>
        <v>6.0441812720550612</v>
      </c>
      <c r="U9" s="4">
        <f t="shared" si="4"/>
        <v>85.803886053201168</v>
      </c>
      <c r="W9" s="4">
        <f t="shared" si="5"/>
        <v>1.5944040000000002</v>
      </c>
      <c r="Y9">
        <f t="shared" si="6"/>
        <v>2.7071548377484465E-8</v>
      </c>
    </row>
    <row r="10" spans="2:25" x14ac:dyDescent="0.2">
      <c r="B10" t="s">
        <v>236</v>
      </c>
      <c r="C10">
        <v>-1</v>
      </c>
      <c r="D10">
        <v>1500</v>
      </c>
      <c r="E10">
        <v>0</v>
      </c>
      <c r="F10">
        <v>1000</v>
      </c>
      <c r="H10">
        <v>100</v>
      </c>
      <c r="J10" s="45">
        <v>0.3931</v>
      </c>
      <c r="K10" s="45">
        <v>5.11E-2</v>
      </c>
      <c r="M10">
        <f t="shared" si="0"/>
        <v>1.7453640000000001</v>
      </c>
      <c r="N10">
        <f t="shared" si="0"/>
        <v>0.22688400000000003</v>
      </c>
      <c r="P10">
        <f t="shared" si="1"/>
        <v>2.9617580179874429E-2</v>
      </c>
      <c r="Q10">
        <f t="shared" si="2"/>
        <v>3.8658033736582048E-3</v>
      </c>
      <c r="S10" s="4">
        <f t="shared" si="3"/>
        <v>7.6614295444228322</v>
      </c>
      <c r="U10" s="4">
        <f t="shared" si="4"/>
        <v>88.454561745596493</v>
      </c>
      <c r="W10" s="4">
        <f t="shared" si="5"/>
        <v>1.9722480000000002</v>
      </c>
      <c r="Y10">
        <f t="shared" si="6"/>
        <v>3.3483383553532632E-8</v>
      </c>
    </row>
    <row r="11" spans="2:25" x14ac:dyDescent="0.2">
      <c r="B11" t="s">
        <v>237</v>
      </c>
      <c r="C11">
        <v>-1</v>
      </c>
      <c r="D11">
        <v>1500</v>
      </c>
      <c r="E11">
        <v>0</v>
      </c>
      <c r="F11">
        <v>1000</v>
      </c>
      <c r="H11">
        <v>114</v>
      </c>
      <c r="J11" s="45">
        <v>0.35970000000000002</v>
      </c>
      <c r="K11" s="45">
        <v>4.9299999999999997E-2</v>
      </c>
      <c r="M11">
        <f t="shared" si="0"/>
        <v>1.5970680000000002</v>
      </c>
      <c r="N11">
        <f t="shared" si="0"/>
        <v>0.218892</v>
      </c>
      <c r="P11">
        <f t="shared" si="1"/>
        <v>2.7101103003563554E-2</v>
      </c>
      <c r="Q11">
        <f t="shared" si="2"/>
        <v>3.7296302606917705E-3</v>
      </c>
      <c r="S11" s="4">
        <f t="shared" si="3"/>
        <v>7.266431551994339</v>
      </c>
      <c r="U11" s="4">
        <f t="shared" si="4"/>
        <v>87.902881748791074</v>
      </c>
      <c r="W11" s="4">
        <f t="shared" si="5"/>
        <v>1.8159600000000002</v>
      </c>
      <c r="Y11">
        <f t="shared" si="6"/>
        <v>3.0830733264255325E-8</v>
      </c>
    </row>
    <row r="12" spans="2:25" x14ac:dyDescent="0.2">
      <c r="B12" t="s">
        <v>238</v>
      </c>
      <c r="C12">
        <v>-1</v>
      </c>
      <c r="D12">
        <v>1500</v>
      </c>
      <c r="E12">
        <v>0</v>
      </c>
      <c r="F12">
        <v>1000</v>
      </c>
      <c r="H12">
        <v>900</v>
      </c>
      <c r="J12" s="45">
        <v>1.9323999999999999</v>
      </c>
      <c r="K12" s="45">
        <v>0.20319999999999999</v>
      </c>
      <c r="M12">
        <f t="shared" si="0"/>
        <v>8.5798559999999995</v>
      </c>
      <c r="N12">
        <f t="shared" si="0"/>
        <v>0.90220800000000001</v>
      </c>
      <c r="P12">
        <f t="shared" si="1"/>
        <v>0.14559402681147124</v>
      </c>
      <c r="Q12">
        <f t="shared" si="2"/>
        <v>1.5372431419321861E-2</v>
      </c>
      <c r="S12" s="4">
        <f t="shared" si="3"/>
        <v>9.4711124636062269</v>
      </c>
      <c r="T12" s="4"/>
      <c r="U12" s="4">
        <f t="shared" si="4"/>
        <v>90.449916343887665</v>
      </c>
      <c r="V12" s="4"/>
      <c r="W12" s="4">
        <f t="shared" si="5"/>
        <v>9.4820639999999994</v>
      </c>
      <c r="Y12">
        <f t="shared" si="6"/>
        <v>1.6096645823079309E-7</v>
      </c>
    </row>
    <row r="13" spans="2:25" x14ac:dyDescent="0.2">
      <c r="B13" s="45" t="s">
        <v>243</v>
      </c>
      <c r="C13">
        <v>-1</v>
      </c>
      <c r="D13">
        <v>1500</v>
      </c>
      <c r="E13">
        <v>0</v>
      </c>
      <c r="F13">
        <v>1000</v>
      </c>
      <c r="H13">
        <v>250</v>
      </c>
      <c r="J13" s="45">
        <v>0.52339999999999998</v>
      </c>
      <c r="K13" s="45">
        <v>6.6900000000000001E-2</v>
      </c>
      <c r="M13">
        <f t="shared" ref="M13:N14" si="7">J13*4.44</f>
        <v>2.323896</v>
      </c>
      <c r="N13">
        <f t="shared" si="7"/>
        <v>0.29703600000000002</v>
      </c>
      <c r="P13">
        <f t="shared" ref="P13:P14" si="8">M13/58.93</f>
        <v>3.9434854912608182E-2</v>
      </c>
      <c r="Q13">
        <f t="shared" ref="Q13:Q14" si="9">N13/58.69</f>
        <v>5.0611006985857906E-3</v>
      </c>
      <c r="S13" s="4">
        <f t="shared" ref="S13:S14" si="10">P13/Q13</f>
        <v>7.7917546520319885</v>
      </c>
      <c r="T13" s="4"/>
      <c r="U13" s="4">
        <f t="shared" ref="U13:U14" si="11">P13*100/(P13+Q13)</f>
        <v>88.625706248878586</v>
      </c>
      <c r="V13" s="4"/>
      <c r="W13" s="4">
        <f t="shared" ref="W13:W14" si="12">M13+N13</f>
        <v>2.6209319999999998</v>
      </c>
      <c r="Y13">
        <f t="shared" ref="Y13:Y14" si="13">(P13+Q13)/1000000</f>
        <v>4.4495955611193973E-8</v>
      </c>
    </row>
    <row r="14" spans="2:25" x14ac:dyDescent="0.2">
      <c r="B14" s="45" t="s">
        <v>244</v>
      </c>
      <c r="C14">
        <v>-1</v>
      </c>
      <c r="D14">
        <v>1500</v>
      </c>
      <c r="E14">
        <v>0</v>
      </c>
      <c r="F14">
        <v>1000</v>
      </c>
      <c r="H14">
        <v>1000</v>
      </c>
      <c r="J14" s="45">
        <v>2.2707999999999999</v>
      </c>
      <c r="K14" s="45">
        <v>0.25259999999999999</v>
      </c>
      <c r="M14">
        <f t="shared" si="7"/>
        <v>10.082352</v>
      </c>
      <c r="N14">
        <f t="shared" si="7"/>
        <v>1.1215440000000001</v>
      </c>
      <c r="P14">
        <f t="shared" si="8"/>
        <v>0.17109031053792637</v>
      </c>
      <c r="Q14">
        <f t="shared" si="9"/>
        <v>1.9109626852956214E-2</v>
      </c>
      <c r="S14" s="4">
        <f t="shared" si="10"/>
        <v>8.9530953092084626</v>
      </c>
      <c r="T14" s="4"/>
      <c r="U14" s="4">
        <f t="shared" si="11"/>
        <v>89.952874267416945</v>
      </c>
      <c r="V14" s="4"/>
      <c r="W14" s="4">
        <f t="shared" si="12"/>
        <v>11.203896</v>
      </c>
      <c r="Y14">
        <f t="shared" si="13"/>
        <v>1.901999373908826E-7</v>
      </c>
    </row>
    <row r="15" spans="2:25" x14ac:dyDescent="0.2">
      <c r="J15" s="45"/>
      <c r="K15" s="45"/>
      <c r="S15" s="4"/>
      <c r="T15" s="4"/>
      <c r="U15" s="4"/>
      <c r="V15" s="4"/>
      <c r="W15" s="4"/>
    </row>
    <row r="17" spans="2:25" x14ac:dyDescent="0.2">
      <c r="B17" s="45" t="s">
        <v>239</v>
      </c>
      <c r="C17">
        <v>-1</v>
      </c>
      <c r="D17">
        <v>1500</v>
      </c>
      <c r="E17">
        <v>0</v>
      </c>
      <c r="F17">
        <v>10</v>
      </c>
      <c r="H17">
        <v>100</v>
      </c>
      <c r="J17" s="45">
        <v>1.768</v>
      </c>
      <c r="K17" s="45">
        <v>0.78879999999999995</v>
      </c>
      <c r="M17">
        <f t="shared" ref="M17:N20" si="14">J17*4.44</f>
        <v>7.8499200000000009</v>
      </c>
      <c r="N17">
        <f t="shared" si="14"/>
        <v>3.5022720000000001</v>
      </c>
      <c r="P17">
        <f t="shared" ref="P17:P20" si="15">M17/58.93</f>
        <v>0.13320753436280333</v>
      </c>
      <c r="Q17">
        <f t="shared" ref="Q17:Q20" si="16">N17/58.69</f>
        <v>5.9674084171068328E-2</v>
      </c>
      <c r="S17" s="4">
        <f t="shared" ref="S17:S20" si="17">P17/Q17</f>
        <v>2.2322510049913107</v>
      </c>
      <c r="T17" s="4"/>
      <c r="U17" s="4">
        <f t="shared" ref="U17:U20" si="18">P17*100/(P17+Q17)</f>
        <v>69.061808675880101</v>
      </c>
      <c r="V17" s="4"/>
      <c r="W17" s="4">
        <f t="shared" ref="W17:W20" si="19">M17+N17</f>
        <v>11.352192000000001</v>
      </c>
      <c r="Y17">
        <f t="shared" ref="Y17:Y20" si="20">(P17+Q17)/1000000</f>
        <v>1.9288161853387164E-7</v>
      </c>
    </row>
    <row r="18" spans="2:25" x14ac:dyDescent="0.2">
      <c r="B18" s="45" t="s">
        <v>240</v>
      </c>
      <c r="C18">
        <v>-1</v>
      </c>
      <c r="D18">
        <v>1500</v>
      </c>
      <c r="E18">
        <v>0</v>
      </c>
      <c r="F18">
        <v>100</v>
      </c>
      <c r="H18">
        <v>100</v>
      </c>
      <c r="J18" s="45">
        <v>1.7022999999999999</v>
      </c>
      <c r="K18" s="45">
        <v>0.61209999999999998</v>
      </c>
      <c r="M18">
        <f t="shared" si="14"/>
        <v>7.5582120000000002</v>
      </c>
      <c r="N18">
        <f t="shared" si="14"/>
        <v>2.717724</v>
      </c>
      <c r="P18">
        <f t="shared" si="15"/>
        <v>0.12825745800101815</v>
      </c>
      <c r="Q18">
        <f t="shared" si="16"/>
        <v>4.6306423581530073E-2</v>
      </c>
      <c r="S18" s="4">
        <f t="shared" si="17"/>
        <v>2.769755210639401</v>
      </c>
      <c r="T18" s="4"/>
      <c r="U18" s="4">
        <f t="shared" si="18"/>
        <v>73.473078645061776</v>
      </c>
      <c r="V18" s="4"/>
      <c r="W18" s="4">
        <f t="shared" si="19"/>
        <v>10.275936</v>
      </c>
      <c r="Y18">
        <f t="shared" si="20"/>
        <v>1.745638815825482E-7</v>
      </c>
    </row>
    <row r="19" spans="2:25" x14ac:dyDescent="0.2">
      <c r="B19" s="45" t="s">
        <v>241</v>
      </c>
      <c r="C19">
        <v>-1</v>
      </c>
      <c r="D19">
        <v>1500</v>
      </c>
      <c r="E19">
        <v>0</v>
      </c>
      <c r="F19">
        <v>250</v>
      </c>
      <c r="H19">
        <v>100</v>
      </c>
      <c r="J19" s="45">
        <v>1.5837000000000001</v>
      </c>
      <c r="K19" s="45">
        <v>0.46450000000000002</v>
      </c>
      <c r="M19">
        <f t="shared" si="14"/>
        <v>7.0316280000000013</v>
      </c>
      <c r="N19">
        <f t="shared" si="14"/>
        <v>2.0623800000000001</v>
      </c>
      <c r="P19">
        <f t="shared" si="15"/>
        <v>0.11932170371627357</v>
      </c>
      <c r="Q19">
        <f t="shared" si="16"/>
        <v>3.5140228318282507E-2</v>
      </c>
      <c r="S19" s="4">
        <f t="shared" si="17"/>
        <v>3.3955870359041955</v>
      </c>
      <c r="T19" s="4"/>
      <c r="U19" s="4">
        <f t="shared" si="18"/>
        <v>77.249910152346814</v>
      </c>
      <c r="V19" s="4"/>
      <c r="W19" s="4">
        <f t="shared" si="19"/>
        <v>9.0940080000000023</v>
      </c>
      <c r="Y19">
        <f t="shared" si="20"/>
        <v>1.5446193203455607E-7</v>
      </c>
    </row>
    <row r="20" spans="2:25" x14ac:dyDescent="0.2">
      <c r="B20" s="45" t="s">
        <v>242</v>
      </c>
      <c r="C20">
        <v>-1</v>
      </c>
      <c r="D20">
        <v>1500</v>
      </c>
      <c r="E20">
        <v>0</v>
      </c>
      <c r="F20">
        <v>500</v>
      </c>
      <c r="H20">
        <v>100</v>
      </c>
      <c r="J20" s="45">
        <v>1.1731</v>
      </c>
      <c r="K20" s="45">
        <v>0.27829999999999999</v>
      </c>
      <c r="M20">
        <f t="shared" si="14"/>
        <v>5.2085640000000009</v>
      </c>
      <c r="N20">
        <f t="shared" si="14"/>
        <v>1.235652</v>
      </c>
      <c r="P20">
        <f t="shared" si="15"/>
        <v>8.838561004581709E-2</v>
      </c>
      <c r="Q20">
        <f t="shared" si="16"/>
        <v>2.1053876299199182E-2</v>
      </c>
      <c r="S20" s="4">
        <f t="shared" si="17"/>
        <v>4.1980682696981066</v>
      </c>
      <c r="T20" s="4"/>
      <c r="U20" s="4">
        <f t="shared" si="18"/>
        <v>80.762084141344346</v>
      </c>
      <c r="V20" s="4"/>
      <c r="W20" s="4">
        <f t="shared" si="19"/>
        <v>6.4442160000000008</v>
      </c>
      <c r="Y20">
        <f t="shared" si="20"/>
        <v>1.0943948634501627E-7</v>
      </c>
    </row>
    <row r="22" spans="2:25" x14ac:dyDescent="0.2">
      <c r="U22" s="2"/>
    </row>
    <row r="23" spans="2:25" x14ac:dyDescent="0.2">
      <c r="B23" t="s">
        <v>245</v>
      </c>
      <c r="C23">
        <v>-0.9</v>
      </c>
      <c r="D23">
        <v>1952</v>
      </c>
      <c r="E23">
        <v>0</v>
      </c>
      <c r="F23">
        <v>1401</v>
      </c>
      <c r="H23">
        <f>1007232/1000</f>
        <v>1007.232</v>
      </c>
      <c r="U23">
        <v>88.47</v>
      </c>
      <c r="W23">
        <v>0.92</v>
      </c>
      <c r="Y23" s="54">
        <v>1.5686400000000001E-8</v>
      </c>
    </row>
    <row r="24" spans="2:25" x14ac:dyDescent="0.2">
      <c r="B24" t="s">
        <v>246</v>
      </c>
      <c r="C24">
        <v>-1</v>
      </c>
      <c r="D24">
        <v>1505</v>
      </c>
      <c r="E24">
        <v>0</v>
      </c>
      <c r="F24">
        <v>1273</v>
      </c>
      <c r="H24">
        <f>1008350/1000</f>
        <v>1008.35</v>
      </c>
      <c r="U24" s="55">
        <v>87.35</v>
      </c>
      <c r="W24">
        <v>4.34</v>
      </c>
      <c r="Y24" s="54">
        <v>7.3754199999999997E-8</v>
      </c>
    </row>
    <row r="25" spans="2:25" x14ac:dyDescent="0.2">
      <c r="B25" t="s">
        <v>247</v>
      </c>
      <c r="C25">
        <v>-0.9</v>
      </c>
      <c r="D25">
        <v>1946</v>
      </c>
      <c r="E25">
        <v>0</v>
      </c>
      <c r="F25">
        <v>1412</v>
      </c>
      <c r="H25">
        <f>1183.168</f>
        <v>1183.1679999999999</v>
      </c>
      <c r="U25" s="2"/>
      <c r="W25">
        <v>7.0000000000000007E-2</v>
      </c>
      <c r="Y25" s="54">
        <v>1.2083000000000001E-9</v>
      </c>
    </row>
    <row r="26" spans="2:25" x14ac:dyDescent="0.2">
      <c r="B26" t="s">
        <v>248</v>
      </c>
      <c r="C26">
        <v>-1</v>
      </c>
      <c r="D26">
        <v>1491</v>
      </c>
      <c r="E26">
        <v>0</v>
      </c>
      <c r="F26">
        <v>1272</v>
      </c>
      <c r="H26">
        <v>1255.422</v>
      </c>
      <c r="U26">
        <v>88.94</v>
      </c>
      <c r="W26">
        <v>4.71</v>
      </c>
      <c r="Y26" s="54">
        <v>7.9960499999999997E-8</v>
      </c>
    </row>
    <row r="27" spans="2:25" x14ac:dyDescent="0.2">
      <c r="B27" t="s">
        <v>249</v>
      </c>
      <c r="C27">
        <v>-0.9</v>
      </c>
      <c r="D27">
        <v>1988</v>
      </c>
      <c r="E27">
        <v>0</v>
      </c>
      <c r="F27">
        <v>1415</v>
      </c>
      <c r="H27">
        <f>685.86</f>
        <v>685.86</v>
      </c>
      <c r="W27">
        <v>0.03</v>
      </c>
      <c r="Y27" s="54">
        <v>5.8903600000000003E-10</v>
      </c>
    </row>
    <row r="28" spans="2:25" x14ac:dyDescent="0.2">
      <c r="B28" t="s">
        <v>250</v>
      </c>
      <c r="C28">
        <v>-0.9</v>
      </c>
      <c r="D28">
        <v>3025</v>
      </c>
      <c r="E28">
        <v>0</v>
      </c>
      <c r="F28">
        <v>1361</v>
      </c>
      <c r="H28">
        <f>974.05</f>
        <v>974.05</v>
      </c>
      <c r="U28">
        <v>89.32</v>
      </c>
      <c r="W28">
        <v>1.1100000000000001</v>
      </c>
      <c r="Y28" s="54">
        <v>1.89044E-8</v>
      </c>
    </row>
    <row r="29" spans="2:25" x14ac:dyDescent="0.2">
      <c r="B29" t="s">
        <v>251</v>
      </c>
      <c r="C29">
        <v>-0.9</v>
      </c>
      <c r="D29">
        <v>2013</v>
      </c>
      <c r="E29">
        <v>0</v>
      </c>
      <c r="F29">
        <v>1418</v>
      </c>
      <c r="H29">
        <f>515.328</f>
        <v>515.32799999999997</v>
      </c>
      <c r="U29">
        <v>80.66</v>
      </c>
      <c r="W29">
        <v>0.18</v>
      </c>
      <c r="Y29" s="54">
        <v>3.12923E-9</v>
      </c>
    </row>
    <row r="30" spans="2:25" x14ac:dyDescent="0.2">
      <c r="B30" t="s">
        <v>252</v>
      </c>
      <c r="C30">
        <v>-1</v>
      </c>
      <c r="D30">
        <v>785</v>
      </c>
      <c r="E30">
        <v>0</v>
      </c>
      <c r="F30">
        <v>1086</v>
      </c>
      <c r="H30">
        <f>993.025</f>
        <v>993.02499999999998</v>
      </c>
      <c r="U30">
        <v>88.26</v>
      </c>
      <c r="W30">
        <v>2.48</v>
      </c>
      <c r="Y30" s="54">
        <v>4.2129699999999998E-8</v>
      </c>
    </row>
    <row r="31" spans="2:25" x14ac:dyDescent="0.2">
      <c r="B31" t="s">
        <v>253</v>
      </c>
      <c r="C31">
        <v>-1</v>
      </c>
      <c r="D31">
        <v>1482</v>
      </c>
      <c r="E31">
        <v>0</v>
      </c>
      <c r="F31">
        <v>1271</v>
      </c>
      <c r="H31">
        <f>1447.914</f>
        <v>1447.914</v>
      </c>
      <c r="U31">
        <v>88.64</v>
      </c>
      <c r="W31">
        <v>2.63</v>
      </c>
      <c r="Y31" s="54">
        <v>4.4624100000000002E-8</v>
      </c>
    </row>
    <row r="33" spans="2:25" ht="16" x14ac:dyDescent="0.2">
      <c r="B33" s="56" t="s">
        <v>254</v>
      </c>
      <c r="C33">
        <v>-0.9</v>
      </c>
      <c r="D33">
        <v>2777.4</v>
      </c>
      <c r="E33">
        <v>0</v>
      </c>
      <c r="F33">
        <v>1002.4</v>
      </c>
      <c r="H33">
        <v>902.65499999999997</v>
      </c>
      <c r="U33">
        <v>89.97</v>
      </c>
      <c r="W33">
        <v>4.75</v>
      </c>
      <c r="Y33" s="54">
        <v>8.0575200000000003E-8</v>
      </c>
    </row>
    <row r="34" spans="2:25" ht="16" x14ac:dyDescent="0.2">
      <c r="B34" s="56" t="s">
        <v>255</v>
      </c>
      <c r="C34">
        <v>-1</v>
      </c>
      <c r="D34">
        <v>2839.6</v>
      </c>
      <c r="E34">
        <v>0</v>
      </c>
      <c r="F34">
        <v>885</v>
      </c>
      <c r="H34">
        <v>445.81720000000001</v>
      </c>
      <c r="U34">
        <v>74.81</v>
      </c>
      <c r="W34">
        <v>52.98</v>
      </c>
      <c r="Y34" s="54">
        <v>8.9988599999999999E-7</v>
      </c>
    </row>
    <row r="35" spans="2:25" ht="16" x14ac:dyDescent="0.2">
      <c r="B35" s="56" t="s">
        <v>256</v>
      </c>
      <c r="C35">
        <v>-1</v>
      </c>
      <c r="D35">
        <v>3044.4</v>
      </c>
      <c r="E35">
        <v>0</v>
      </c>
      <c r="F35">
        <v>788.783861</v>
      </c>
      <c r="H35">
        <v>106.554</v>
      </c>
      <c r="U35">
        <v>73.989999999999995</v>
      </c>
      <c r="W35">
        <v>10.58</v>
      </c>
      <c r="Y35" s="54">
        <v>1.7971199999999999E-7</v>
      </c>
    </row>
    <row r="36" spans="2:25" ht="16" x14ac:dyDescent="0.2">
      <c r="B36" s="56" t="s">
        <v>257</v>
      </c>
      <c r="C36">
        <v>-0.9</v>
      </c>
      <c r="D36">
        <v>2948.8</v>
      </c>
      <c r="E36">
        <v>0</v>
      </c>
      <c r="F36">
        <v>894.8</v>
      </c>
      <c r="H36">
        <v>215.26240000000001</v>
      </c>
      <c r="U36">
        <v>88.01</v>
      </c>
      <c r="W36">
        <v>1.69</v>
      </c>
      <c r="Y36" s="54">
        <v>2.87199E-8</v>
      </c>
    </row>
    <row r="37" spans="2:25" ht="16" x14ac:dyDescent="0.2">
      <c r="B37" s="56" t="s">
        <v>258</v>
      </c>
      <c r="C37">
        <v>-1</v>
      </c>
      <c r="D37">
        <v>2978.6</v>
      </c>
      <c r="E37">
        <v>0</v>
      </c>
      <c r="F37">
        <v>826.414356</v>
      </c>
      <c r="H37">
        <f>268074/1000</f>
        <v>268.07400000000001</v>
      </c>
      <c r="U37">
        <v>72.86</v>
      </c>
      <c r="W37">
        <v>28.7</v>
      </c>
      <c r="Y37" s="54">
        <v>4.8755999999999995E-7</v>
      </c>
    </row>
    <row r="38" spans="2:25" ht="16" x14ac:dyDescent="0.2">
      <c r="B38" s="56" t="s">
        <v>259</v>
      </c>
      <c r="C38">
        <v>-0.9</v>
      </c>
      <c r="D38">
        <v>2859.6</v>
      </c>
      <c r="E38">
        <v>0</v>
      </c>
      <c r="F38">
        <v>912</v>
      </c>
      <c r="H38">
        <f>1075209.6/1000</f>
        <v>1075.2096000000001</v>
      </c>
      <c r="U38">
        <v>86.27</v>
      </c>
      <c r="W38">
        <v>1.1100000000000001</v>
      </c>
      <c r="Y38" s="54">
        <v>1.8838899999999999E-8</v>
      </c>
    </row>
    <row r="39" spans="2:25" ht="16" x14ac:dyDescent="0.2">
      <c r="B39" s="56"/>
      <c r="Y39" s="54"/>
    </row>
  </sheetData>
  <mergeCells count="3">
    <mergeCell ref="J1:K1"/>
    <mergeCell ref="M1:N1"/>
    <mergeCell ref="P1:Q1"/>
  </mergeCells>
  <phoneticPr fontId="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83F5D-F3F8-4F6D-9AA1-827B500C2FD6}">
  <sheetPr codeName="Sheet7"/>
  <dimension ref="B1:Y17"/>
  <sheetViews>
    <sheetView zoomScale="70" zoomScaleNormal="70" workbookViewId="0">
      <selection activeCell="M20" sqref="M20"/>
    </sheetView>
  </sheetViews>
  <sheetFormatPr baseColWidth="10" defaultColWidth="8.83203125" defaultRowHeight="15" x14ac:dyDescent="0.2"/>
  <cols>
    <col min="24" max="24" width="19.5" customWidth="1"/>
    <col min="25" max="25" width="13.33203125" bestFit="1" customWidth="1"/>
  </cols>
  <sheetData>
    <row r="1" spans="2:25" x14ac:dyDescent="0.2">
      <c r="J1" s="57" t="s">
        <v>75</v>
      </c>
      <c r="K1" s="57"/>
      <c r="L1" s="2"/>
      <c r="M1" s="57" t="s">
        <v>0</v>
      </c>
      <c r="N1" s="57"/>
      <c r="O1" s="1"/>
      <c r="P1" s="57" t="s">
        <v>76</v>
      </c>
      <c r="Q1" s="57"/>
      <c r="R1" s="2"/>
      <c r="S1" s="3" t="s">
        <v>2</v>
      </c>
      <c r="T1" s="4"/>
      <c r="U1" s="3" t="s">
        <v>3</v>
      </c>
      <c r="V1" s="4"/>
      <c r="W1" s="3" t="s">
        <v>4</v>
      </c>
      <c r="Y1" t="s">
        <v>77</v>
      </c>
    </row>
    <row r="2" spans="2:25" x14ac:dyDescent="0.2">
      <c r="S2" s="4"/>
      <c r="T2" s="4"/>
      <c r="U2" s="3"/>
      <c r="V2" s="4"/>
      <c r="W2" s="4"/>
    </row>
    <row r="3" spans="2:25" x14ac:dyDescent="0.2">
      <c r="B3" s="31" t="s">
        <v>5</v>
      </c>
      <c r="C3" s="2" t="s">
        <v>214</v>
      </c>
      <c r="D3" s="2" t="s">
        <v>213</v>
      </c>
      <c r="E3" s="2" t="s">
        <v>215</v>
      </c>
      <c r="F3" s="2" t="s">
        <v>216</v>
      </c>
      <c r="G3" s="2"/>
      <c r="H3" s="2" t="s">
        <v>217</v>
      </c>
      <c r="J3" s="2" t="s">
        <v>6</v>
      </c>
      <c r="K3" s="2" t="s">
        <v>7</v>
      </c>
      <c r="L3" s="2"/>
      <c r="M3" s="2" t="s">
        <v>8</v>
      </c>
      <c r="N3" s="2" t="s">
        <v>9</v>
      </c>
      <c r="O3" s="2"/>
      <c r="P3" s="2" t="s">
        <v>8</v>
      </c>
      <c r="Q3" s="2" t="s">
        <v>9</v>
      </c>
      <c r="R3" s="2"/>
      <c r="S3" s="3"/>
      <c r="T3" s="3"/>
      <c r="U3" s="3"/>
      <c r="V3" s="4"/>
      <c r="W3" s="4"/>
    </row>
    <row r="7" spans="2:25" x14ac:dyDescent="0.2">
      <c r="B7" t="s">
        <v>223</v>
      </c>
      <c r="C7">
        <v>-1</v>
      </c>
      <c r="D7">
        <v>1500</v>
      </c>
      <c r="E7">
        <v>0.3</v>
      </c>
      <c r="F7">
        <v>1000</v>
      </c>
      <c r="H7">
        <v>100</v>
      </c>
      <c r="J7" s="45">
        <v>0.1653</v>
      </c>
      <c r="K7" s="45">
        <v>3.5700000000000003E-2</v>
      </c>
      <c r="M7">
        <f t="shared" ref="M7:N17" si="0">J7*4.44</f>
        <v>0.73393200000000003</v>
      </c>
      <c r="N7">
        <f t="shared" si="0"/>
        <v>0.15850800000000004</v>
      </c>
      <c r="P7">
        <f t="shared" ref="P7:P17" si="1">M7/58.93</f>
        <v>1.2454301713897846E-2</v>
      </c>
      <c r="Q7">
        <f t="shared" ref="Q7:Q17" si="2">N7/58.69</f>
        <v>2.7007667405009378E-3</v>
      </c>
      <c r="S7" s="4">
        <f t="shared" ref="S7:S17" si="3">P7/Q7</f>
        <v>4.6113948039762311</v>
      </c>
      <c r="T7" s="4"/>
      <c r="U7" s="4">
        <f t="shared" ref="U7:U17" si="4">P7*100/(P7+Q7)</f>
        <v>82.179118829931554</v>
      </c>
      <c r="V7" s="4"/>
      <c r="W7" s="4">
        <f t="shared" ref="W7:W17" si="5">M7+N7</f>
        <v>0.89244000000000012</v>
      </c>
      <c r="Y7">
        <f t="shared" ref="Y7:Y8" si="6">(P7+Q7)/1000000</f>
        <v>1.5155068454398783E-8</v>
      </c>
    </row>
    <row r="8" spans="2:25" x14ac:dyDescent="0.2">
      <c r="B8" t="s">
        <v>224</v>
      </c>
      <c r="C8">
        <v>-1</v>
      </c>
      <c r="D8">
        <v>1500</v>
      </c>
      <c r="E8">
        <v>0.2</v>
      </c>
      <c r="F8">
        <v>1000</v>
      </c>
      <c r="H8">
        <v>100</v>
      </c>
      <c r="J8" s="45">
        <v>0.21590000000000001</v>
      </c>
      <c r="K8" s="45">
        <v>3.5099999999999999E-2</v>
      </c>
      <c r="M8">
        <f t="shared" si="0"/>
        <v>0.95859600000000011</v>
      </c>
      <c r="N8">
        <f t="shared" si="0"/>
        <v>0.15584400000000001</v>
      </c>
      <c r="P8">
        <f t="shared" si="1"/>
        <v>1.6266689292380794E-2</v>
      </c>
      <c r="Q8">
        <f t="shared" si="2"/>
        <v>2.6553757028454595E-3</v>
      </c>
      <c r="S8" s="4">
        <f t="shared" si="3"/>
        <v>6.1259464244361581</v>
      </c>
      <c r="T8" s="4"/>
      <c r="U8" s="4">
        <f t="shared" si="4"/>
        <v>85.96677633484839</v>
      </c>
      <c r="V8" s="4"/>
      <c r="W8" s="4">
        <f t="shared" si="5"/>
        <v>1.1144400000000001</v>
      </c>
      <c r="Y8">
        <f t="shared" si="6"/>
        <v>1.8922064995226254E-8</v>
      </c>
    </row>
    <row r="9" spans="2:25" x14ac:dyDescent="0.2">
      <c r="B9" t="s">
        <v>225</v>
      </c>
      <c r="C9">
        <v>-1</v>
      </c>
      <c r="D9">
        <v>1500</v>
      </c>
      <c r="E9">
        <v>0.1</v>
      </c>
      <c r="F9">
        <v>1000</v>
      </c>
      <c r="H9">
        <v>100</v>
      </c>
      <c r="J9" s="45">
        <v>0.31490000000000001</v>
      </c>
      <c r="K9" s="45">
        <v>4.3799999999999999E-2</v>
      </c>
      <c r="M9">
        <f t="shared" si="0"/>
        <v>1.3981560000000002</v>
      </c>
      <c r="N9">
        <f t="shared" si="0"/>
        <v>0.19447200000000001</v>
      </c>
      <c r="P9">
        <f t="shared" si="1"/>
        <v>2.3725708467673513E-2</v>
      </c>
      <c r="Q9">
        <f t="shared" si="2"/>
        <v>3.3135457488498894E-3</v>
      </c>
      <c r="S9" s="4">
        <f t="shared" si="3"/>
        <v>7.1602175632880742</v>
      </c>
      <c r="T9" s="4"/>
      <c r="U9" s="4">
        <f t="shared" si="4"/>
        <v>87.745424772754959</v>
      </c>
      <c r="V9" s="4"/>
      <c r="W9" s="4">
        <f t="shared" si="5"/>
        <v>1.5926280000000002</v>
      </c>
      <c r="Y9">
        <f>(P9+Q9)/1000000</f>
        <v>2.7039254216523402E-8</v>
      </c>
    </row>
    <row r="10" spans="2:25" x14ac:dyDescent="0.2">
      <c r="B10" t="s">
        <v>226</v>
      </c>
      <c r="C10">
        <v>-1</v>
      </c>
      <c r="D10">
        <v>1500</v>
      </c>
      <c r="E10">
        <v>-0.1</v>
      </c>
      <c r="F10">
        <v>1000</v>
      </c>
      <c r="H10">
        <v>100</v>
      </c>
      <c r="J10" s="45">
        <v>2.1505999999999998</v>
      </c>
      <c r="K10" s="45">
        <v>0.65880000000000005</v>
      </c>
      <c r="M10">
        <f t="shared" si="0"/>
        <v>9.5486640000000005</v>
      </c>
      <c r="N10">
        <f t="shared" si="0"/>
        <v>2.9250720000000006</v>
      </c>
      <c r="P10">
        <f t="shared" si="1"/>
        <v>0.16203400644832852</v>
      </c>
      <c r="Q10">
        <f t="shared" si="2"/>
        <v>4.9839359345714783E-2</v>
      </c>
      <c r="S10" s="4">
        <f t="shared" si="3"/>
        <v>3.2511253871536834</v>
      </c>
      <c r="T10" s="4"/>
      <c r="U10" s="4">
        <f t="shared" si="4"/>
        <v>76.476817103022583</v>
      </c>
      <c r="V10" s="4"/>
      <c r="W10" s="4">
        <f t="shared" si="5"/>
        <v>12.473736000000001</v>
      </c>
      <c r="Y10">
        <f t="shared" ref="Y10:Y17" si="7">(P10+Q10)/1000000</f>
        <v>2.1187336579404332E-7</v>
      </c>
    </row>
    <row r="11" spans="2:25" x14ac:dyDescent="0.2">
      <c r="B11" t="s">
        <v>227</v>
      </c>
      <c r="C11">
        <v>-1</v>
      </c>
      <c r="D11">
        <v>1500</v>
      </c>
      <c r="E11">
        <v>-0.2</v>
      </c>
      <c r="F11">
        <v>1000</v>
      </c>
      <c r="H11">
        <v>100</v>
      </c>
      <c r="J11" s="45">
        <v>2.4133</v>
      </c>
      <c r="K11" s="45">
        <v>0.94289999999999996</v>
      </c>
      <c r="M11">
        <f t="shared" si="0"/>
        <v>10.715052000000002</v>
      </c>
      <c r="N11">
        <f t="shared" si="0"/>
        <v>4.1864759999999999</v>
      </c>
      <c r="P11">
        <f t="shared" si="1"/>
        <v>0.18182677753266591</v>
      </c>
      <c r="Q11">
        <f t="shared" si="2"/>
        <v>7.1332015675583574E-2</v>
      </c>
      <c r="S11" s="4">
        <f t="shared" si="3"/>
        <v>2.5490206019077051</v>
      </c>
      <c r="T11" s="4"/>
      <c r="U11" s="4">
        <f t="shared" si="4"/>
        <v>71.823212312082106</v>
      </c>
      <c r="V11" s="4"/>
      <c r="W11" s="4">
        <f t="shared" si="5"/>
        <v>14.901528000000003</v>
      </c>
      <c r="Y11">
        <f t="shared" si="7"/>
        <v>2.5315879320824944E-7</v>
      </c>
    </row>
    <row r="12" spans="2:25" x14ac:dyDescent="0.2">
      <c r="B12" t="s">
        <v>228</v>
      </c>
      <c r="C12">
        <v>-1</v>
      </c>
      <c r="D12">
        <v>1500</v>
      </c>
      <c r="E12">
        <v>-0.3</v>
      </c>
      <c r="F12">
        <v>1000</v>
      </c>
      <c r="H12">
        <v>100</v>
      </c>
      <c r="J12" s="45">
        <v>2.5007000000000001</v>
      </c>
      <c r="K12" s="45">
        <v>1.0447</v>
      </c>
      <c r="M12">
        <f t="shared" si="0"/>
        <v>11.103108000000002</v>
      </c>
      <c r="N12">
        <f t="shared" si="0"/>
        <v>4.6384680000000005</v>
      </c>
      <c r="P12">
        <f t="shared" si="1"/>
        <v>0.18841181062277282</v>
      </c>
      <c r="Q12">
        <f t="shared" si="2"/>
        <v>7.9033361731129681E-2</v>
      </c>
      <c r="S12" s="4">
        <f t="shared" si="3"/>
        <v>2.383952883894108</v>
      </c>
      <c r="T12" s="4"/>
      <c r="U12" s="4">
        <f t="shared" si="4"/>
        <v>70.448761129048492</v>
      </c>
      <c r="V12" s="4"/>
      <c r="W12" s="4">
        <f t="shared" si="5"/>
        <v>15.741576000000002</v>
      </c>
      <c r="Y12">
        <f t="shared" si="7"/>
        <v>2.6744517235390253E-7</v>
      </c>
    </row>
    <row r="13" spans="2:25" x14ac:dyDescent="0.2">
      <c r="B13" t="s">
        <v>218</v>
      </c>
      <c r="C13">
        <v>-1</v>
      </c>
      <c r="D13">
        <v>1500</v>
      </c>
      <c r="E13">
        <v>-0.4</v>
      </c>
      <c r="F13">
        <v>1000</v>
      </c>
      <c r="H13">
        <v>100</v>
      </c>
      <c r="J13" s="45">
        <v>2.6867000000000001</v>
      </c>
      <c r="K13" s="45">
        <v>1.2491000000000001</v>
      </c>
      <c r="M13">
        <f t="shared" si="0"/>
        <v>11.928948000000002</v>
      </c>
      <c r="N13">
        <f t="shared" si="0"/>
        <v>5.5460040000000008</v>
      </c>
      <c r="P13">
        <f t="shared" si="1"/>
        <v>0.20242572543695914</v>
      </c>
      <c r="Q13">
        <f t="shared" si="2"/>
        <v>9.4496575225762505E-2</v>
      </c>
      <c r="S13" s="4">
        <f t="shared" si="3"/>
        <v>2.1421488022538622</v>
      </c>
      <c r="T13" s="4"/>
      <c r="U13" s="4">
        <f t="shared" si="4"/>
        <v>68.174645348345692</v>
      </c>
      <c r="V13" s="4"/>
      <c r="W13" s="4">
        <f t="shared" si="5"/>
        <v>17.474952000000002</v>
      </c>
      <c r="Y13">
        <f t="shared" si="7"/>
        <v>2.9692230066272162E-7</v>
      </c>
    </row>
    <row r="14" spans="2:25" x14ac:dyDescent="0.2">
      <c r="B14" t="s">
        <v>219</v>
      </c>
      <c r="C14">
        <v>-1</v>
      </c>
      <c r="D14">
        <v>1500</v>
      </c>
      <c r="E14">
        <v>-0.5</v>
      </c>
      <c r="F14">
        <v>1000</v>
      </c>
      <c r="H14">
        <v>100</v>
      </c>
      <c r="J14" s="45">
        <v>2.7604000000000002</v>
      </c>
      <c r="K14" s="45">
        <v>1.2195</v>
      </c>
      <c r="M14">
        <f t="shared" si="0"/>
        <v>12.256176000000002</v>
      </c>
      <c r="N14">
        <f t="shared" si="0"/>
        <v>5.4145800000000008</v>
      </c>
      <c r="P14">
        <f t="shared" si="1"/>
        <v>0.20797855082301039</v>
      </c>
      <c r="Q14">
        <f t="shared" si="2"/>
        <v>9.2257284034758927E-2</v>
      </c>
      <c r="S14" s="4">
        <f t="shared" si="3"/>
        <v>2.2543320345811635</v>
      </c>
      <c r="T14" s="4"/>
      <c r="U14" s="4">
        <f t="shared" si="4"/>
        <v>69.271727980617655</v>
      </c>
      <c r="V14" s="4"/>
      <c r="W14" s="4">
        <f t="shared" si="5"/>
        <v>17.670756000000004</v>
      </c>
      <c r="Y14">
        <f t="shared" si="7"/>
        <v>3.0023583485776932E-7</v>
      </c>
    </row>
    <row r="15" spans="2:25" x14ac:dyDescent="0.2">
      <c r="B15" t="s">
        <v>220</v>
      </c>
      <c r="C15">
        <v>-1</v>
      </c>
      <c r="D15">
        <v>1500</v>
      </c>
      <c r="E15">
        <v>-0.6</v>
      </c>
      <c r="F15">
        <v>1000</v>
      </c>
      <c r="H15">
        <v>100</v>
      </c>
      <c r="J15" s="45">
        <v>2.4500000000000002</v>
      </c>
      <c r="K15" s="45">
        <v>0.97850000000000004</v>
      </c>
      <c r="M15">
        <f t="shared" si="0"/>
        <v>10.878000000000002</v>
      </c>
      <c r="N15">
        <f t="shared" si="0"/>
        <v>4.3445400000000003</v>
      </c>
      <c r="P15">
        <f t="shared" si="1"/>
        <v>0.18459188868148654</v>
      </c>
      <c r="Q15">
        <f t="shared" si="2"/>
        <v>7.4025217243141941E-2</v>
      </c>
      <c r="S15" s="4">
        <f t="shared" si="3"/>
        <v>2.4936352172419736</v>
      </c>
      <c r="T15" s="4"/>
      <c r="U15" s="4">
        <f t="shared" si="4"/>
        <v>71.376519361130008</v>
      </c>
      <c r="V15" s="4"/>
      <c r="W15" s="4">
        <f t="shared" si="5"/>
        <v>15.222540000000002</v>
      </c>
      <c r="Y15">
        <f t="shared" si="7"/>
        <v>2.5861710592462847E-7</v>
      </c>
    </row>
    <row r="16" spans="2:25" x14ac:dyDescent="0.2">
      <c r="B16" t="s">
        <v>221</v>
      </c>
      <c r="C16">
        <v>-1</v>
      </c>
      <c r="D16">
        <v>1500</v>
      </c>
      <c r="E16">
        <v>-0.7</v>
      </c>
      <c r="F16">
        <v>1000</v>
      </c>
      <c r="H16">
        <v>100</v>
      </c>
      <c r="J16" s="45">
        <v>2.6173999999999999</v>
      </c>
      <c r="K16" s="45">
        <v>1.1637999999999999</v>
      </c>
      <c r="M16">
        <f t="shared" si="0"/>
        <v>11.621256000000001</v>
      </c>
      <c r="N16">
        <f t="shared" si="0"/>
        <v>5.1672720000000005</v>
      </c>
      <c r="P16">
        <f t="shared" si="1"/>
        <v>0.1972044120142542</v>
      </c>
      <c r="Q16">
        <f t="shared" si="2"/>
        <v>8.804348270574204E-2</v>
      </c>
      <c r="S16" s="4">
        <f t="shared" si="3"/>
        <v>2.2398524678237526</v>
      </c>
      <c r="T16" s="4"/>
      <c r="U16" s="4">
        <f t="shared" si="4"/>
        <v>69.134397015561888</v>
      </c>
      <c r="V16" s="4"/>
      <c r="W16" s="4">
        <f t="shared" si="5"/>
        <v>16.788527999999999</v>
      </c>
      <c r="Y16">
        <f t="shared" si="7"/>
        <v>2.8524789471999624E-7</v>
      </c>
    </row>
    <row r="17" spans="2:25" x14ac:dyDescent="0.2">
      <c r="B17" t="s">
        <v>222</v>
      </c>
      <c r="C17">
        <v>-1</v>
      </c>
      <c r="D17">
        <v>1500</v>
      </c>
      <c r="E17">
        <v>-0.8</v>
      </c>
      <c r="F17">
        <v>1000</v>
      </c>
      <c r="H17">
        <v>100</v>
      </c>
      <c r="J17" s="45">
        <v>2.8302999999999998</v>
      </c>
      <c r="K17" s="45">
        <v>1.2946</v>
      </c>
      <c r="M17">
        <f t="shared" si="0"/>
        <v>12.566532</v>
      </c>
      <c r="N17">
        <f t="shared" si="0"/>
        <v>5.748024</v>
      </c>
      <c r="P17">
        <f t="shared" si="1"/>
        <v>0.21324507042253521</v>
      </c>
      <c r="Q17">
        <f t="shared" si="2"/>
        <v>9.7938728914636231E-2</v>
      </c>
      <c r="S17" s="4">
        <f t="shared" si="3"/>
        <v>2.1773314069493432</v>
      </c>
      <c r="T17" s="4"/>
      <c r="U17" s="4">
        <f t="shared" si="4"/>
        <v>68.527047640896498</v>
      </c>
      <c r="V17" s="4"/>
      <c r="W17" s="4">
        <f t="shared" si="5"/>
        <v>18.314556</v>
      </c>
      <c r="Y17">
        <f t="shared" si="7"/>
        <v>3.1118379933717144E-7</v>
      </c>
    </row>
  </sheetData>
  <mergeCells count="3">
    <mergeCell ref="J1:K1"/>
    <mergeCell ref="M1:N1"/>
    <mergeCell ref="P1:Q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Varing Vstripping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Mondal</dc:creator>
  <cp:lastModifiedBy>Chenlu Yang</cp:lastModifiedBy>
  <dcterms:created xsi:type="dcterms:W3CDTF">2025-10-18T15:00:20Z</dcterms:created>
  <dcterms:modified xsi:type="dcterms:W3CDTF">2026-06-30T04:18:44Z</dcterms:modified>
</cp:coreProperties>
</file>